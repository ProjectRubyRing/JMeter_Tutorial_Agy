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全体概要" sheetId="1" state="visible" r:id="rId1"/>
    <sheet xmlns:r="http://schemas.openxmlformats.org/officeDocument/2006/relationships" name="01_Win環境構築" sheetId="2" state="visible" r:id="rId2"/>
    <sheet xmlns:r="http://schemas.openxmlformats.org/officeDocument/2006/relationships" name="02_シナリオ作成手法" sheetId="3" state="visible" r:id="rId3"/>
    <sheet xmlns:r="http://schemas.openxmlformats.org/officeDocument/2006/relationships" name="03_Cognito・APIGW連携" sheetId="4" state="visible" r:id="rId4"/>
    <sheet xmlns:r="http://schemas.openxmlformats.org/officeDocument/2006/relationships" name="04_Linux実行基盤構築" sheetId="5" state="visible" r:id="rId5"/>
    <sheet xmlns:r="http://schemas.openxmlformats.org/officeDocument/2006/relationships" name="05_CLI実行と監視" sheetId="6" state="visible" r:id="rId6"/>
    <sheet xmlns:r="http://schemas.openxmlformats.org/officeDocument/2006/relationships" name="06_結果取得とExcel取込" sheetId="7" state="visible" r:id="rId7"/>
    <sheet xmlns:r="http://schemas.openxmlformats.org/officeDocument/2006/relationships" name="07_性能分析レポート" sheetId="8" state="visible" r:id="rId8"/>
    <sheet xmlns:r="http://schemas.openxmlformats.org/officeDocument/2006/relationships" name="08_確認観点と注意点" sheetId="9" state="visible" r:id="rId9"/>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Meiryo UI"/>
      <b val="1"/>
      <color rgb="00FFFFFF"/>
      <sz val="15"/>
    </font>
    <font>
      <name val="Meiryo UI"/>
      <i val="1"/>
      <color rgb="00E2E8F0"/>
      <sz val="9.5"/>
    </font>
    <font>
      <name val="Meiryo UI"/>
      <b val="1"/>
      <color rgb="001F2421"/>
      <sz val="10"/>
    </font>
    <font>
      <name val="Meiryo UI"/>
      <b val="1"/>
      <color rgb="00212529"/>
      <sz val="9.5"/>
    </font>
    <font>
      <name val="Meiryo UI"/>
      <color rgb="00212529"/>
      <sz val="9.5"/>
    </font>
    <font>
      <name val="Meiryo UI"/>
      <b val="1"/>
      <color rgb="00FFFFFF"/>
      <sz val="11"/>
    </font>
    <font>
      <name val="Meiryo UI"/>
      <b val="1"/>
      <color rgb="00FFFFFF"/>
      <sz val="9.5"/>
    </font>
    <font>
      <name val="Meiryo UI"/>
      <color rgb="004B5563"/>
      <sz val="8.5"/>
    </font>
    <font>
      <name val="Meiryo UI"/>
      <b val="1"/>
      <color rgb="00B71C1C"/>
      <sz val="9.5"/>
    </font>
    <font>
      <name val="Meiryo UI"/>
      <b val="1"/>
      <color rgb="000D47A1"/>
      <sz val="9.5"/>
    </font>
    <font>
      <name val="Consolas"/>
      <color rgb="001A202C"/>
      <sz val="9"/>
    </font>
    <font>
      <name val="Meiryo UI"/>
      <b val="1"/>
      <color rgb="00E65100"/>
      <sz val="9.5"/>
    </font>
    <font>
      <name val="Meiryo UI"/>
      <b val="1"/>
      <color rgb="001B5E20"/>
      <sz val="9.5"/>
    </font>
    <font>
      <name val="Meiryo UI"/>
      <b val="1"/>
      <color rgb="004A5568"/>
      <sz val="8.5"/>
    </font>
    <font>
      <name val="Meiryo UI"/>
      <b val="1"/>
      <color rgb="001A202C"/>
      <sz val="14"/>
    </font>
    <font>
      <name val="Meiryo UI"/>
      <i val="1"/>
      <color rgb="004A5568"/>
      <sz val="8.5"/>
    </font>
  </fonts>
  <fills count="15">
    <fill>
      <patternFill/>
    </fill>
    <fill>
      <patternFill patternType="gray125"/>
    </fill>
    <fill>
      <patternFill patternType="solid">
        <fgColor rgb="002B303A"/>
      </patternFill>
    </fill>
    <fill>
      <patternFill patternType="solid">
        <fgColor rgb="003E4452"/>
      </patternFill>
    </fill>
    <fill>
      <patternFill patternType="solid">
        <fgColor rgb="00E8ECEF"/>
      </patternFill>
    </fill>
    <fill>
      <patternFill patternType="solid">
        <fgColor rgb="00F1F3F5"/>
      </patternFill>
    </fill>
    <fill>
      <patternFill patternType="solid">
        <fgColor rgb="00FFFFFF"/>
      </patternFill>
    </fill>
    <fill>
      <patternFill patternType="solid">
        <fgColor rgb="004A5060"/>
      </patternFill>
    </fill>
    <fill>
      <patternFill patternType="solid">
        <fgColor rgb="00F8F9FA"/>
      </patternFill>
    </fill>
    <fill>
      <patternFill patternType="solid">
        <fgColor rgb="00F3F4F6"/>
      </patternFill>
    </fill>
    <fill>
      <patternFill patternType="solid">
        <fgColor rgb="00F8D7DA"/>
      </patternFill>
    </fill>
    <fill>
      <patternFill patternType="solid">
        <fgColor rgb="00CFF4FC"/>
      </patternFill>
    </fill>
    <fill>
      <patternFill patternType="solid">
        <fgColor rgb="00EDF2F7"/>
      </patternFill>
    </fill>
    <fill>
      <patternFill patternType="solid">
        <fgColor rgb="00D1E7DD"/>
      </patternFill>
    </fill>
    <fill>
      <patternFill patternType="solid">
        <fgColor rgb="00FFF3CD"/>
      </patternFill>
    </fill>
  </fills>
  <borders count="21">
    <border>
      <left/>
      <right/>
      <top/>
      <bottom/>
      <diagonal/>
    </border>
    <border>
      <left style="thin">
        <color rgb="00CBD5E0"/>
      </left>
      <right style="thin">
        <color rgb="00CBD5E0"/>
      </right>
      <top style="thin">
        <color rgb="00CBD5E0"/>
      </top>
      <bottom style="thin">
        <color rgb="00CBD5E0"/>
      </bottom>
    </border>
    <border>
      <left style="thin">
        <color rgb="00CBD5E0"/>
      </left>
      <right style="thin">
        <color rgb="00CBD5E0"/>
      </right>
      <top style="medium">
        <color rgb="004A5060"/>
      </top>
      <bottom style="medium">
        <color rgb="004A5060"/>
      </bottom>
    </border>
    <border>
      <left style="dashed">
        <color rgb="006B7280"/>
      </left>
      <top style="dashed">
        <color rgb="006B7280"/>
      </top>
    </border>
    <border>
      <top style="dashed">
        <color rgb="006B7280"/>
      </top>
    </border>
    <border>
      <right style="dashed">
        <color rgb="006B7280"/>
      </right>
      <top style="dashed">
        <color rgb="006B7280"/>
      </top>
    </border>
    <border>
      <left style="dashed">
        <color rgb="006B7280"/>
      </left>
    </border>
    <border/>
    <border>
      <right style="dashed">
        <color rgb="006B7280"/>
      </right>
    </border>
    <border>
      <left style="dashed">
        <color rgb="006B7280"/>
      </left>
      <bottom style="dashed">
        <color rgb="006B7280"/>
      </bottom>
    </border>
    <border>
      <bottom style="dashed">
        <color rgb="006B7280"/>
      </bottom>
    </border>
    <border>
      <right style="dashed">
        <color rgb="006B7280"/>
      </right>
      <bottom style="dashed">
        <color rgb="006B7280"/>
      </bottom>
    </border>
    <border>
      <left style="dashed">
        <color rgb="006B7280"/>
      </left>
      <right style="dashed">
        <color rgb="006B7280"/>
      </right>
      <top style="dashed">
        <color rgb="006B7280"/>
      </top>
      <bottom style="dashed">
        <color rgb="006B7280"/>
      </bottom>
    </border>
    <border>
      <left/>
      <right/>
      <top style="dashed">
        <color rgb="006B7280"/>
      </top>
      <bottom/>
      <diagonal/>
    </border>
    <border>
      <left style="dashed">
        <color rgb="006B7280"/>
      </left>
      <right/>
      <top/>
      <bottom/>
      <diagonal/>
    </border>
    <border>
      <left/>
      <right style="dashed">
        <color rgb="006B7280"/>
      </right>
      <top style="dashed">
        <color rgb="006B7280"/>
      </top>
      <bottom/>
      <diagonal/>
    </border>
    <border>
      <left/>
      <right style="dashed">
        <color rgb="006B7280"/>
      </right>
      <top/>
      <bottom/>
      <diagonal/>
    </border>
    <border>
      <left style="dashed">
        <color rgb="006B7280"/>
      </left>
      <right/>
      <top/>
      <bottom style="dashed">
        <color rgb="006B7280"/>
      </bottom>
      <diagonal/>
    </border>
    <border>
      <left/>
      <right/>
      <top/>
      <bottom style="dashed">
        <color rgb="006B7280"/>
      </bottom>
      <diagonal/>
    </border>
    <border>
      <left/>
      <right style="dashed">
        <color rgb="006B7280"/>
      </right>
      <top/>
      <bottom style="dashed">
        <color rgb="006B7280"/>
      </bottom>
      <diagonal/>
    </border>
    <border>
      <left style="thin">
        <color rgb="00CBD5E0"/>
      </left>
      <right style="thin">
        <color rgb="00CBD5E0"/>
      </right>
      <top style="thin">
        <color rgb="00CBD5E0"/>
      </top>
      <bottom style="double">
        <color rgb="002B303A"/>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pivotButton="0" quotePrefix="0" xfId="0"/>
    <xf numFmtId="0" fontId="4" fillId="5" borderId="1" applyAlignment="1" pivotButton="0" quotePrefix="0" xfId="0">
      <alignment horizontal="left" vertical="center" wrapText="1"/>
    </xf>
    <xf numFmtId="0" fontId="0" fillId="5" borderId="1" pivotButton="0" quotePrefix="0" xfId="0"/>
    <xf numFmtId="0" fontId="5" fillId="6" borderId="1" applyAlignment="1" pivotButton="0" quotePrefix="0" xfId="0">
      <alignment horizontal="left" vertical="center" wrapText="1"/>
    </xf>
    <xf numFmtId="0" fontId="0" fillId="6" borderId="1" pivotButton="0" quotePrefix="0" xfId="0"/>
    <xf numFmtId="0" fontId="6" fillId="3" borderId="0" applyAlignment="1" pivotButton="0" quotePrefix="0" xfId="0">
      <alignment horizontal="left" vertical="center" indent="1"/>
    </xf>
    <xf numFmtId="0" fontId="4" fillId="5" borderId="1" applyAlignment="1" pivotButton="0" quotePrefix="0" xfId="0">
      <alignment horizontal="center" vertical="center" wrapText="1"/>
    </xf>
    <xf numFmtId="0" fontId="7" fillId="7" borderId="2" applyAlignment="1" pivotButton="0" quotePrefix="0" xfId="0">
      <alignment horizontal="center" vertical="center" wrapText="1"/>
    </xf>
    <xf numFmtId="0" fontId="0" fillId="7" borderId="2" pivotButton="0" quotePrefix="0" xfId="0"/>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0" fillId="8" borderId="1" pivotButton="0" quotePrefix="0" xfId="0"/>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8" fillId="9" borderId="12" applyAlignment="1" pivotButton="0" quotePrefix="0" xfId="0">
      <alignment horizontal="center" vertical="center" wrapText="1"/>
    </xf>
    <xf numFmtId="0" fontId="0" fillId="0" borderId="13" pivotButton="0" quotePrefix="0" xfId="0"/>
    <xf numFmtId="0" fontId="0" fillId="0" borderId="15"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12" borderId="1" applyAlignment="1" pivotButton="0" quotePrefix="0" xfId="0">
      <alignment horizontal="left" vertical="center" wrapText="1"/>
    </xf>
    <xf numFmtId="0" fontId="0" fillId="12" borderId="1" pivotButton="0" quotePrefix="0" xfId="0"/>
    <xf numFmtId="0" fontId="4" fillId="4" borderId="1" applyAlignment="1" pivotButton="0" quotePrefix="0" xfId="0">
      <alignment horizontal="center" vertical="center" wrapText="1"/>
    </xf>
    <xf numFmtId="0" fontId="12"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11" fillId="8" borderId="1" applyAlignment="1" pivotButton="0" quotePrefix="0" xfId="0">
      <alignment horizontal="left" vertical="center" wrapText="1"/>
    </xf>
    <xf numFmtId="0" fontId="11" fillId="5" borderId="1" applyAlignment="1" pivotButton="0" quotePrefix="0" xfId="0">
      <alignment horizontal="left" vertical="center" wrapText="1"/>
    </xf>
    <xf numFmtId="0" fontId="13" fillId="13" borderId="1" applyAlignment="1" pivotButton="0" quotePrefix="0" xfId="0">
      <alignment horizontal="left" vertical="center" wrapText="1"/>
    </xf>
    <xf numFmtId="0" fontId="14"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13" fillId="13" borderId="1" applyAlignment="1" pivotButton="0" quotePrefix="0" xfId="0">
      <alignment horizontal="center" vertical="center" wrapText="1"/>
    </xf>
    <xf numFmtId="0" fontId="0" fillId="13" borderId="1" pivotButton="0" quotePrefix="0" xfId="0"/>
    <xf numFmtId="3" fontId="5" fillId="6" borderId="1" applyAlignment="1" pivotButton="0" quotePrefix="0" xfId="0">
      <alignment horizontal="right" vertical="center"/>
    </xf>
    <xf numFmtId="3" fontId="4" fillId="6" borderId="1" applyAlignment="1" pivotButton="0" quotePrefix="0" xfId="0">
      <alignment horizontal="right" vertical="center"/>
    </xf>
    <xf numFmtId="10" fontId="5" fillId="6" borderId="1" applyAlignment="1" pivotButton="0" quotePrefix="0" xfId="0">
      <alignment horizontal="right" vertical="center"/>
    </xf>
    <xf numFmtId="2" fontId="5" fillId="6" borderId="1" applyAlignment="1" pivotButton="0" quotePrefix="0" xfId="0">
      <alignment horizontal="right" vertical="center"/>
    </xf>
    <xf numFmtId="3" fontId="5" fillId="8" borderId="1" applyAlignment="1" pivotButton="0" quotePrefix="0" xfId="0">
      <alignment horizontal="right" vertical="center"/>
    </xf>
    <xf numFmtId="3" fontId="4" fillId="8" borderId="1" applyAlignment="1" pivotButton="0" quotePrefix="0" xfId="0">
      <alignment horizontal="right" vertical="center"/>
    </xf>
    <xf numFmtId="10" fontId="5" fillId="8" borderId="1" applyAlignment="1" pivotButton="0" quotePrefix="0" xfId="0">
      <alignment horizontal="right" vertical="center"/>
    </xf>
    <xf numFmtId="2" fontId="5" fillId="8" borderId="1" applyAlignment="1" pivotButton="0" quotePrefix="0" xfId="0">
      <alignment horizontal="right" vertical="center"/>
    </xf>
    <xf numFmtId="0" fontId="4" fillId="4" borderId="20" applyAlignment="1" pivotButton="0" quotePrefix="0" xfId="0">
      <alignment horizontal="left" vertical="center" wrapText="1"/>
    </xf>
    <xf numFmtId="3" fontId="4" fillId="4" borderId="20" applyAlignment="1" pivotButton="0" quotePrefix="0" xfId="0">
      <alignment horizontal="right" vertical="center"/>
    </xf>
    <xf numFmtId="10" fontId="4" fillId="4" borderId="20" applyAlignment="1" pivotButton="0" quotePrefix="0" xfId="0">
      <alignment horizontal="right" vertical="center"/>
    </xf>
    <xf numFmtId="2" fontId="4" fillId="4" borderId="20" applyAlignment="1" pivotButton="0" quotePrefix="0" xfId="0">
      <alignment horizontal="right" vertical="center"/>
    </xf>
    <xf numFmtId="0" fontId="13" fillId="13" borderId="20" applyAlignment="1" pivotButton="0" quotePrefix="0" xfId="0">
      <alignment horizontal="center" vertical="center" wrapText="1"/>
    </xf>
    <xf numFmtId="0" fontId="5" fillId="6" borderId="1" applyAlignment="1" pivotButton="0" quotePrefix="0" xfId="0">
      <alignment horizontal="right" vertical="center"/>
    </xf>
    <xf numFmtId="0" fontId="4" fillId="6" borderId="1" applyAlignment="1" pivotButton="0" quotePrefix="0" xfId="0">
      <alignment horizontal="right" vertical="center"/>
    </xf>
    <xf numFmtId="0" fontId="5" fillId="8" borderId="1" applyAlignment="1" pivotButton="0" quotePrefix="0" xfId="0">
      <alignment horizontal="right" vertical="center"/>
    </xf>
    <xf numFmtId="0" fontId="4" fillId="8" borderId="1" applyAlignment="1" pivotButton="0" quotePrefix="0" xfId="0">
      <alignment horizontal="right" vertical="center"/>
    </xf>
    <xf numFmtId="0" fontId="9" fillId="6" borderId="1" applyAlignment="1" pivotButton="0" quotePrefix="0" xfId="0">
      <alignment horizontal="left" vertical="center" wrapText="1"/>
    </xf>
    <xf numFmtId="0" fontId="9" fillId="8" borderId="1" applyAlignment="1" pivotButton="0" quotePrefix="0" xfId="0">
      <alignment horizontal="left" vertical="center" wrapText="1"/>
    </xf>
    <xf numFmtId="0" fontId="12"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showGridLines="1" workbookViewId="0">
      <selection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4" customWidth="1" min="8" max="8"/>
    <col width="16" customWidth="1" min="9" max="9"/>
    <col width="16" customWidth="1" min="10" max="10"/>
  </cols>
  <sheetData>
    <row r="1" ht="36" customHeight="1">
      <c r="A1" s="1" t="inlineStr">
        <is>
          <t xml:space="preserve"> Apache JMeter 負荷テスト実践マニュアル &amp; 性能分析レポート</t>
        </is>
      </c>
    </row>
    <row r="2" ht="22" customHeight="1">
      <c r="A2" s="2" t="inlineStr">
        <is>
          <t xml:space="preserve">  ■ 現場導入・GUIシナリオ作成・Cognito/API連携・Linux CLI実行・JTL解析・報告書作成の実務標準</t>
        </is>
      </c>
    </row>
    <row r="4">
      <c r="A4" s="3" t="inlineStr">
        <is>
          <t>■ 文書管理情報</t>
        </is>
      </c>
    </row>
    <row r="5" ht="20" customHeight="1">
      <c r="A5" s="4" t="inlineStr">
        <is>
          <t>文書名称</t>
        </is>
      </c>
      <c r="B5" s="5" t="n"/>
      <c r="C5" s="6" t="inlineStr">
        <is>
          <t>Apache JMeter 性能テスト運用標準マニュアル &amp; 分析テンプレート</t>
        </is>
      </c>
      <c r="D5" s="7" t="n"/>
      <c r="E5" s="7" t="n"/>
      <c r="F5" s="4" t="inlineStr">
        <is>
          <t>版数 / ステータス</t>
        </is>
      </c>
      <c r="G5" s="5" t="n"/>
      <c r="H5" s="6" t="inlineStr">
        <is>
          <t>第 2.0 版 (Cognito・API Gateway連携対応版)</t>
        </is>
      </c>
      <c r="I5" s="7" t="n"/>
      <c r="J5" s="7" t="n"/>
    </row>
    <row r="6" ht="20" customHeight="1">
      <c r="A6" s="4" t="inlineStr">
        <is>
          <t>作成日</t>
        </is>
      </c>
      <c r="B6" s="5" t="n"/>
      <c r="C6" s="6" t="inlineStr">
        <is>
          <t>2026年10月04日</t>
        </is>
      </c>
      <c r="D6" s="7" t="n"/>
      <c r="E6" s="7" t="n"/>
      <c r="F6" s="4" t="inlineStr">
        <is>
          <t>適用対象</t>
        </is>
      </c>
      <c r="G6" s="5" t="n"/>
      <c r="H6" s="6" t="inlineStr">
        <is>
          <t>Windows 11 開発端末 &amp; Linux 負荷テスト実行サーバ</t>
        </is>
      </c>
      <c r="I6" s="7" t="n"/>
      <c r="J6" s="7" t="n"/>
    </row>
    <row r="7" ht="20" customHeight="1">
      <c r="A7" s="4" t="inlineStr">
        <is>
          <t>作成者 / 承認者</t>
        </is>
      </c>
      <c r="B7" s="5" t="n"/>
      <c r="C7" s="6" t="inlineStr">
        <is>
          <t>性能テスト推進チーム (Performance Engineering Group)</t>
        </is>
      </c>
      <c r="D7" s="7" t="n"/>
      <c r="E7" s="7" t="n"/>
      <c r="F7" s="4" t="inlineStr">
        <is>
          <t>機密区分</t>
        </is>
      </c>
      <c r="G7" s="5" t="n"/>
      <c r="H7" s="6" t="inlineStr">
        <is>
          <t>社内限定 / プロジェクト関係者限り</t>
        </is>
      </c>
      <c r="I7" s="7" t="n"/>
      <c r="J7" s="7" t="n"/>
    </row>
    <row r="8" ht="20" customHeight="1">
      <c r="A8" s="4" t="inlineStr">
        <is>
          <t>テスト目的</t>
        </is>
      </c>
      <c r="B8" s="5" t="n"/>
      <c r="C8" s="6" t="inlineStr">
        <is>
          <t>Web API / AWS基盤の高負荷性能検証、SLA合否判定、ボトルネック特定</t>
        </is>
      </c>
      <c r="D8" s="7" t="n"/>
      <c r="E8" s="7" t="n"/>
      <c r="F8" s="4" t="inlineStr">
        <is>
          <t>使用ツール</t>
        </is>
      </c>
      <c r="G8" s="5" t="n"/>
      <c r="H8" s="6" t="inlineStr">
        <is>
          <t>Apache JMeter 5.6.3 / OpenJDK 17 LTS / Excel</t>
        </is>
      </c>
      <c r="I8" s="7" t="n"/>
      <c r="J8" s="7" t="n"/>
    </row>
    <row r="10" ht="26" customHeight="1">
      <c r="A10" s="8" t="inlineStr">
        <is>
          <t xml:space="preserve"> ▶ 1. 負荷テスト一連の業務フロー（エンドツーエンド・ワークフロー）</t>
        </is>
      </c>
    </row>
    <row r="11" ht="28" customHeight="1">
      <c r="A11" s="9" t="inlineStr">
        <is>
          <t>Step 1</t>
        </is>
      </c>
      <c r="B11" s="4" t="inlineStr">
        <is>
          <t>Windows 11 端末環境構築</t>
        </is>
      </c>
      <c r="C11" s="5" t="n"/>
      <c r="D11" s="6" t="inlineStr">
        <is>
          <t>Java 17/21 LTSの導入、JMeter 5.6.3展開、環境変数・ヒープ設定、Plugins Manager追加導入を行いGUIを準備。</t>
        </is>
      </c>
      <c r="E11" s="7" t="n"/>
      <c r="F11" s="7" t="n"/>
      <c r="G11" s="7" t="n"/>
      <c r="H11" s="7" t="n"/>
      <c r="I11" s="7" t="n"/>
      <c r="J11" s="7" t="n"/>
    </row>
    <row r="12" ht="28" customHeight="1">
      <c r="A12" s="9" t="inlineStr">
        <is>
          <t>Step 2</t>
        </is>
      </c>
      <c r="B12" s="4" t="inlineStr">
        <is>
          <t>GUI シナリオ作成 &amp; 単体検証</t>
        </is>
      </c>
      <c r="C12" s="5" t="n"/>
      <c r="D12" s="6" t="inlineStr">
        <is>
          <t>HTTP Request Defaults、スレッドグループ、CSVデータ設定、アサーションを組み、1スレッドで単体デバッグ検証。</t>
        </is>
      </c>
      <c r="E12" s="7" t="n"/>
      <c r="F12" s="7" t="n"/>
      <c r="G12" s="7" t="n"/>
      <c r="H12" s="7" t="n"/>
      <c r="I12" s="7" t="n"/>
      <c r="J12" s="7" t="n"/>
    </row>
    <row r="13" ht="28" customHeight="1">
      <c r="A13" s="9" t="inlineStr">
        <is>
          <t>Step 3</t>
        </is>
      </c>
      <c r="B13" s="4" t="inlineStr">
        <is>
          <t>Cognito 認証 &amp; API Gateway 連携</t>
        </is>
      </c>
      <c r="C13" s="5" t="n"/>
      <c r="D13" s="6" t="inlineStr">
        <is>
          <t>Cognito token呼出、BASE64エンコード関数、正規表現抽出でのToken保持、X-API-IDヘッダ設定を組み込みJMX保存。</t>
        </is>
      </c>
      <c r="E13" s="7" t="n"/>
      <c r="F13" s="7" t="n"/>
      <c r="G13" s="7" t="n"/>
      <c r="H13" s="7" t="n"/>
      <c r="I13" s="7" t="n"/>
      <c r="J13" s="7" t="n"/>
    </row>
    <row r="14" ht="28" customHeight="1">
      <c r="A14" s="9" t="inlineStr">
        <is>
          <t>Step 4</t>
        </is>
      </c>
      <c r="B14" s="4" t="inlineStr">
        <is>
          <t>Linux 実行基盤構築 &amp; 資材転送</t>
        </is>
      </c>
      <c r="C14" s="5" t="n"/>
      <c r="D14" s="6" t="inlineStr">
        <is>
          <t>LinuxサーバにJava/JMeter配備、OSカーネル(ulimit/tcp)チューニング実施後、SCP/WinSCPでJMX・CSVを転送配置。</t>
        </is>
      </c>
      <c r="E14" s="7" t="n"/>
      <c r="F14" s="7" t="n"/>
      <c r="G14" s="7" t="n"/>
      <c r="H14" s="7" t="n"/>
      <c r="I14" s="7" t="n"/>
      <c r="J14" s="7" t="n"/>
    </row>
    <row r="15" ht="28" customHeight="1">
      <c r="A15" s="9" t="inlineStr">
        <is>
          <t>Step 5</t>
        </is>
      </c>
      <c r="B15" s="4" t="inlineStr">
        <is>
          <t>Linux CLI 負荷テスト実行 &amp; 監視</t>
        </is>
      </c>
      <c r="C15" s="5" t="n"/>
      <c r="D15" s="6" t="inlineStr">
        <is>
          <t>Non-GUIコマンド(jmeter -n -t ... -l ... -j ...)で本番負荷実行。Summariserログやtop/vmstatでリアルタイム監視。</t>
        </is>
      </c>
      <c r="E15" s="7" t="n"/>
      <c r="F15" s="7" t="n"/>
      <c r="G15" s="7" t="n"/>
      <c r="H15" s="7" t="n"/>
      <c r="I15" s="7" t="n"/>
      <c r="J15" s="7" t="n"/>
    </row>
    <row r="16" ht="28" customHeight="1">
      <c r="A16" s="9" t="inlineStr">
        <is>
          <t>Step 6</t>
        </is>
      </c>
      <c r="B16" s="4" t="inlineStr">
        <is>
          <t>結果回収 &amp; 端末 Excel 読込</t>
        </is>
      </c>
      <c r="C16" s="5" t="n"/>
      <c r="D16" s="6" t="inlineStr">
        <is>
          <t>出力されたJTL結果ファイルとログをWindows端末へSCP回収。Excel Power QueryでUTF-8取り込みと日時変換実施。</t>
        </is>
      </c>
      <c r="E16" s="7" t="n"/>
      <c r="F16" s="7" t="n"/>
      <c r="G16" s="7" t="n"/>
      <c r="H16" s="7" t="n"/>
      <c r="I16" s="7" t="n"/>
      <c r="J16" s="7" t="n"/>
    </row>
    <row r="17" ht="28" customHeight="1">
      <c r="A17" s="9" t="inlineStr">
        <is>
          <t>Step 7</t>
        </is>
      </c>
      <c r="B17" s="4" t="inlineStr">
        <is>
          <t>性能分析レポート作成 &amp; 報告</t>
        </is>
      </c>
      <c r="C17" s="5" t="n"/>
      <c r="D17" s="6" t="inlineStr">
        <is>
          <t>総合KPI、SLA合否判定、パーセンタイル集計、TPS推移グラフ、インフラ相関、エラー根本原因分析をまとめ報告書提出。</t>
        </is>
      </c>
      <c r="E17" s="7" t="n"/>
      <c r="F17" s="7" t="n"/>
      <c r="G17" s="7" t="n"/>
      <c r="H17" s="7" t="n"/>
      <c r="I17" s="7" t="n"/>
      <c r="J17" s="7" t="n"/>
    </row>
    <row r="18" ht="28" customHeight="1">
      <c r="A18" s="9" t="inlineStr">
        <is>
          <t>Step 8</t>
        </is>
      </c>
      <c r="B18" s="4" t="inlineStr">
        <is>
          <t>確認観点・落とし穴チェック</t>
        </is>
      </c>
      <c r="C18" s="5" t="n"/>
      <c r="D18" s="6" t="inlineStr">
        <is>
          <t>Think Time設定、GUI実行排除、リスナー無効化、Coordinated Omission対策等の14大チェックリストで品質保証。</t>
        </is>
      </c>
      <c r="E18" s="7" t="n"/>
      <c r="F18" s="7" t="n"/>
      <c r="G18" s="7" t="n"/>
      <c r="H18" s="7" t="n"/>
      <c r="I18" s="7" t="n"/>
      <c r="J18" s="7" t="n"/>
    </row>
    <row r="20" ht="26" customHeight="1">
      <c r="A20" s="8" t="inlineStr">
        <is>
          <t xml:space="preserve"> ▶ 2. 本ワークブックの構成と各シートの利用ガイド（全9シート）</t>
        </is>
      </c>
    </row>
    <row r="21" ht="24" customHeight="1">
      <c r="A21" s="10" t="inlineStr">
        <is>
          <t>No</t>
        </is>
      </c>
      <c r="B21" s="10" t="inlineStr">
        <is>
          <t>シート名</t>
        </is>
      </c>
      <c r="C21" s="11" t="n"/>
      <c r="D21" s="10" t="inlineStr">
        <is>
          <t>主な記載内容・機能</t>
        </is>
      </c>
      <c r="E21" s="11" t="n"/>
      <c r="F21" s="11" t="n"/>
      <c r="G21" s="11" t="n"/>
      <c r="H21" s="10" t="inlineStr">
        <is>
          <t>画像貼付枠</t>
        </is>
      </c>
      <c r="I21" s="10" t="inlineStr">
        <is>
          <t>利用シーン・目的</t>
        </is>
      </c>
      <c r="J21" s="11" t="n"/>
    </row>
    <row r="22" ht="26" customHeight="1">
      <c r="A22" s="12" t="inlineStr">
        <is>
          <t>00</t>
        </is>
      </c>
      <c r="B22" s="13" t="inlineStr">
        <is>
          <t>00_表紙・全体概要</t>
        </is>
      </c>
      <c r="C22" s="7" t="n"/>
      <c r="D22" s="6" t="inlineStr">
        <is>
          <t>文書管理情報、End-to-End業務フロー、ワークブック目次、全体システム配置図</t>
        </is>
      </c>
      <c r="E22" s="7" t="n"/>
      <c r="F22" s="7" t="n"/>
      <c r="G22" s="7" t="n"/>
      <c r="H22" s="14" t="inlineStr">
        <is>
          <t>○ (全体構成図)</t>
        </is>
      </c>
      <c r="I22" s="6" t="inlineStr">
        <is>
          <t>全体像の把握・報告書カバー</t>
        </is>
      </c>
      <c r="J22" s="7" t="n"/>
    </row>
    <row r="23" ht="26" customHeight="1">
      <c r="A23" s="15" t="inlineStr">
        <is>
          <t>01</t>
        </is>
      </c>
      <c r="B23" s="16" t="inlineStr">
        <is>
          <t>01_Win環境構築</t>
        </is>
      </c>
      <c r="C23" s="17" t="n"/>
      <c r="D23" s="18" t="inlineStr">
        <is>
          <t>Windows 11 Java/JMeter導入、ヒープ設定、Plugins Manager、主要プラグイン一覧</t>
        </is>
      </c>
      <c r="E23" s="17" t="n"/>
      <c r="F23" s="17" t="n"/>
      <c r="G23" s="17" t="n"/>
      <c r="H23" s="19" t="inlineStr">
        <is>
          <t>○ (環境変数/設定)</t>
        </is>
      </c>
      <c r="I23" s="18" t="inlineStr">
        <is>
          <t>クライアント端末のセットアップ</t>
        </is>
      </c>
      <c r="J23" s="17" t="n"/>
    </row>
    <row r="24" ht="26" customHeight="1">
      <c r="A24" s="12" t="inlineStr">
        <is>
          <t>02</t>
        </is>
      </c>
      <c r="B24" s="13" t="inlineStr">
        <is>
          <t>02_シナリオ作成手法</t>
        </is>
      </c>
      <c r="C24" s="7" t="n"/>
      <c r="D24" s="6" t="inlineStr">
        <is>
          <t>JMeter計画構造、必須コンポーネント、GUI実行操作、リスナー確認観点、単体デバッグ</t>
        </is>
      </c>
      <c r="E24" s="7" t="n"/>
      <c r="F24" s="7" t="n"/>
      <c r="G24" s="7" t="n"/>
      <c r="H24" s="14" t="inlineStr">
        <is>
          <t>○ (GUI設定/実行)</t>
        </is>
      </c>
      <c r="I24" s="6" t="inlineStr">
        <is>
          <t>基本シナリオの作成と動作確認</t>
        </is>
      </c>
      <c r="J24" s="7" t="n"/>
    </row>
    <row r="25" ht="26" customHeight="1">
      <c r="A25" s="15" t="inlineStr">
        <is>
          <t>03</t>
        </is>
      </c>
      <c r="B25" s="16" t="inlineStr">
        <is>
          <t>03_Cognito・APIGW連携</t>
        </is>
      </c>
      <c r="C25" s="17" t="n"/>
      <c r="D25" s="18" t="inlineStr">
        <is>
          <t>Cognitoトークン取得、BASE64エンコード、正規表現抽出、X-API-IDヘッダ、API連携</t>
        </is>
      </c>
      <c r="E25" s="17" t="n"/>
      <c r="F25" s="17" t="n"/>
      <c r="G25" s="17" t="n"/>
      <c r="H25" s="19" t="inlineStr">
        <is>
          <t>○ (Cognito/API証跡)</t>
        </is>
      </c>
      <c r="I25" s="18" t="inlineStr">
        <is>
          <t>AWS認証・REST API連携シナリオ実装</t>
        </is>
      </c>
      <c r="J25" s="17" t="n"/>
    </row>
    <row r="26" ht="26" customHeight="1">
      <c r="A26" s="12" t="inlineStr">
        <is>
          <t>04</t>
        </is>
      </c>
      <c r="B26" s="13" t="inlineStr">
        <is>
          <t>04_Linux実行基盤構築</t>
        </is>
      </c>
      <c r="C26" s="7" t="n"/>
      <c r="D26" s="6" t="inlineStr">
        <is>
          <t>Linux推奨ディレクトリ設計、Java/JMeter配備、OSチューニング、SCP/WinSCP転送手順</t>
        </is>
      </c>
      <c r="E26" s="7" t="n"/>
      <c r="F26" s="7" t="n"/>
      <c r="G26" s="7" t="n"/>
      <c r="H26" s="14" t="inlineStr">
        <is>
          <t>○ (転送/配置確認)</t>
        </is>
      </c>
      <c r="I26" s="6" t="inlineStr">
        <is>
          <t>負荷生成サーバの準備と資材配置</t>
        </is>
      </c>
      <c r="J26" s="7" t="n"/>
    </row>
    <row r="27" ht="26" customHeight="1">
      <c r="A27" s="15" t="inlineStr">
        <is>
          <t>05</t>
        </is>
      </c>
      <c r="B27" s="16" t="inlineStr">
        <is>
          <t>05_CLI実行と監視</t>
        </is>
      </c>
      <c r="C27" s="17" t="n"/>
      <c r="D27" s="18" t="inlineStr">
        <is>
          <t>Non-GUIコマンド構文(-n -t -l -j -e -o)、Summariser読解、バックグラウンド実行、安全停止</t>
        </is>
      </c>
      <c r="E27" s="17" t="n"/>
      <c r="F27" s="17" t="n"/>
      <c r="G27" s="17" t="n"/>
      <c r="H27" s="19" t="inlineStr">
        <is>
          <t>○ (CLI実行/リソース)</t>
        </is>
      </c>
      <c r="I27" s="18" t="inlineStr">
        <is>
          <t>CLIによる負荷テスト本番実行・監視</t>
        </is>
      </c>
      <c r="J27" s="17" t="n"/>
    </row>
    <row r="28" ht="26" customHeight="1">
      <c r="A28" s="12" t="inlineStr">
        <is>
          <t>06</t>
        </is>
      </c>
      <c r="B28" s="13" t="inlineStr">
        <is>
          <t>06_結果取得とExcel取込</t>
        </is>
      </c>
      <c r="C28" s="7" t="n"/>
      <c r="D28" s="6" t="inlineStr">
        <is>
          <t>JTL全17フィールド定義、LinuxからWindows回収、Power Query取込、エポックミリ秒変換式</t>
        </is>
      </c>
      <c r="E28" s="7" t="n"/>
      <c r="F28" s="7" t="n"/>
      <c r="G28" s="7" t="n"/>
      <c r="H28" s="14" t="inlineStr">
        <is>
          <t>○ (回収/取込画面)</t>
        </is>
      </c>
      <c r="I28" s="6" t="inlineStr">
        <is>
          <t>テスト結果ログのExcel展開</t>
        </is>
      </c>
      <c r="J28" s="7" t="n"/>
    </row>
    <row r="29" ht="26" customHeight="1">
      <c r="A29" s="15" t="inlineStr">
        <is>
          <t>07</t>
        </is>
      </c>
      <c r="B29" s="16" t="inlineStr">
        <is>
          <t>07_性能分析レポート</t>
        </is>
      </c>
      <c r="C29" s="17" t="n"/>
      <c r="D29" s="18" t="inlineStr">
        <is>
          <t>【成果物】総合KPIカード、SLA合否判定表、トランザクション別統計集計、エラー根本原因分析</t>
        </is>
      </c>
      <c r="E29" s="17" t="n"/>
      <c r="F29" s="17" t="n"/>
      <c r="G29" s="17" t="n"/>
      <c r="H29" s="19" t="inlineStr">
        <is>
          <t>○ (グラフ/ダッシュ)</t>
        </is>
      </c>
      <c r="I29" s="18" t="inlineStr">
        <is>
          <t>顧客・プロジェクト提出用性能報告書</t>
        </is>
      </c>
      <c r="J29" s="17" t="n"/>
    </row>
    <row r="30" ht="26" customHeight="1">
      <c r="A30" s="12" t="inlineStr">
        <is>
          <t>08</t>
        </is>
      </c>
      <c r="B30" s="13" t="inlineStr">
        <is>
          <t>08_確認観点と注意点</t>
        </is>
      </c>
      <c r="C30" s="7" t="n"/>
      <c r="D30" s="6" t="inlineStr">
        <is>
          <t>現場で陥りやすい14の重大落とし穴・注意点チェックリスト (Think Time, Non-GUI厳守等)</t>
        </is>
      </c>
      <c r="E30" s="7" t="n"/>
      <c r="F30" s="7" t="n"/>
      <c r="G30" s="7" t="n"/>
      <c r="H30" s="14" t="inlineStr">
        <is>
          <t>○ (レビュー承認印)</t>
        </is>
      </c>
      <c r="I30" s="6" t="inlineStr">
        <is>
          <t>テスト品質保証・事前レビュー</t>
        </is>
      </c>
      <c r="J30" s="7" t="n"/>
    </row>
    <row r="32" ht="26" customHeight="1">
      <c r="A32" s="8" t="inlineStr">
        <is>
          <t xml:space="preserve"> ▶ 3. システム全体配置図・テスト実行ネットワーク構成図貼付エリア</t>
        </is>
      </c>
    </row>
    <row r="33">
      <c r="A33" s="20" t="inlineStr">
        <is>
          <t>【画像・スクリーンショット貼付エリア】
● 対象: 負荷テスト全体システム構成図 / ネットワーク構成図
● 内容: Windows 11 開発端末、Linux 負荷テスト実行サーバ、対象システム (API Gateway, Cognito, Web/AP/DB) 間の通信経路および配置図キャプチャ
● 推奨サイズ: 幅800px × 高さ450px (16:9)
※ 貼付方法: Excel上部「挿入」リボン →「図」→「画像」→「このデバイス...」で画像を挿入し、この枠内にサイズ調整して配置してください。</t>
        </is>
      </c>
      <c r="B33" s="21" t="n"/>
      <c r="C33" s="21" t="n"/>
      <c r="D33" s="21" t="n"/>
      <c r="E33" s="21" t="n"/>
      <c r="F33" s="21" t="n"/>
      <c r="G33" s="21" t="n"/>
      <c r="H33" s="21" t="n"/>
      <c r="I33" s="21" t="n"/>
      <c r="J33" s="22" t="n"/>
    </row>
    <row r="34">
      <c r="A34" s="23" t="n"/>
      <c r="J34" s="24" t="n"/>
    </row>
    <row r="35">
      <c r="A35" s="23" t="n"/>
      <c r="J35" s="24" t="n"/>
    </row>
    <row r="36">
      <c r="A36" s="23" t="n"/>
      <c r="J36" s="24" t="n"/>
    </row>
    <row r="37">
      <c r="A37" s="23" t="n"/>
      <c r="J37" s="24" t="n"/>
    </row>
    <row r="38">
      <c r="A38" s="23" t="n"/>
      <c r="J38" s="24" t="n"/>
    </row>
    <row r="39">
      <c r="A39" s="23" t="n"/>
      <c r="J39" s="24" t="n"/>
    </row>
    <row r="40">
      <c r="A40" s="23" t="n"/>
      <c r="J40" s="24" t="n"/>
    </row>
    <row r="41">
      <c r="A41" s="23" t="n"/>
      <c r="J41" s="24" t="n"/>
    </row>
    <row r="42">
      <c r="A42" s="25" t="n"/>
      <c r="B42" s="26" t="n"/>
      <c r="C42" s="26" t="n"/>
      <c r="D42" s="26" t="n"/>
      <c r="E42" s="26" t="n"/>
      <c r="F42" s="26" t="n"/>
      <c r="G42" s="26" t="n"/>
      <c r="H42" s="26" t="n"/>
      <c r="I42" s="26" t="n"/>
      <c r="J42" s="27" t="n"/>
    </row>
  </sheetData>
  <mergeCells count="69">
    <mergeCell ref="I30:J30"/>
    <mergeCell ref="B16:C16"/>
    <mergeCell ref="A32:J32"/>
    <mergeCell ref="D18:J18"/>
    <mergeCell ref="B25:C25"/>
    <mergeCell ref="D25:G25"/>
    <mergeCell ref="D12:J12"/>
    <mergeCell ref="D24:G24"/>
    <mergeCell ref="B22:C22"/>
    <mergeCell ref="A4:J4"/>
    <mergeCell ref="F6:G6"/>
    <mergeCell ref="A20:J20"/>
    <mergeCell ref="I27:J27"/>
    <mergeCell ref="D29:G29"/>
    <mergeCell ref="D15:J15"/>
    <mergeCell ref="B18:C18"/>
    <mergeCell ref="A10:J10"/>
    <mergeCell ref="I26:J26"/>
    <mergeCell ref="A6:B6"/>
    <mergeCell ref="H7:J7"/>
    <mergeCell ref="F7:G7"/>
    <mergeCell ref="B12:C12"/>
    <mergeCell ref="B27:C27"/>
    <mergeCell ref="D14:J14"/>
    <mergeCell ref="D23:G23"/>
    <mergeCell ref="B21:C21"/>
    <mergeCell ref="D26:G26"/>
    <mergeCell ref="A7:B7"/>
    <mergeCell ref="B11:C11"/>
    <mergeCell ref="I25:J25"/>
    <mergeCell ref="F5:G5"/>
    <mergeCell ref="C8:E8"/>
    <mergeCell ref="B23:C23"/>
    <mergeCell ref="B14:C14"/>
    <mergeCell ref="I22:J22"/>
    <mergeCell ref="B17:C17"/>
    <mergeCell ref="C7:E7"/>
    <mergeCell ref="I28:J28"/>
    <mergeCell ref="F8:G8"/>
    <mergeCell ref="B13:C13"/>
    <mergeCell ref="I21:J21"/>
    <mergeCell ref="A1:J1"/>
    <mergeCell ref="D22:G22"/>
    <mergeCell ref="D30:G30"/>
    <mergeCell ref="B29:C29"/>
    <mergeCell ref="I24:J24"/>
    <mergeCell ref="H5:J5"/>
    <mergeCell ref="A5:B5"/>
    <mergeCell ref="H8:J8"/>
    <mergeCell ref="D21:G21"/>
    <mergeCell ref="B28:C28"/>
    <mergeCell ref="I23:J23"/>
    <mergeCell ref="D27:G27"/>
    <mergeCell ref="A8:B8"/>
    <mergeCell ref="D11:J11"/>
    <mergeCell ref="D13:J13"/>
    <mergeCell ref="C6:E6"/>
    <mergeCell ref="B24:C24"/>
    <mergeCell ref="I29:J29"/>
    <mergeCell ref="B30:C30"/>
    <mergeCell ref="B15:C15"/>
    <mergeCell ref="C5:E5"/>
    <mergeCell ref="B26:C26"/>
    <mergeCell ref="D17:J17"/>
    <mergeCell ref="D16:J16"/>
    <mergeCell ref="A2:J2"/>
    <mergeCell ref="A33:J42"/>
    <mergeCell ref="D28:G28"/>
    <mergeCell ref="H6:J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showGridLines="1" workbookViewId="0">
      <selection activeCell="A1" sqref="A1"/>
    </sheetView>
  </sheetViews>
  <sheetFormatPr baseColWidth="8" defaultRowHeight="15"/>
  <cols>
    <col width="8" customWidth="1" min="1" max="1"/>
    <col width="16" customWidth="1" min="2" max="2"/>
    <col width="14" customWidth="1" min="3" max="3"/>
    <col width="14" customWidth="1" min="4" max="4"/>
    <col width="16" customWidth="1" min="5" max="5"/>
    <col width="16" customWidth="1" min="6" max="6"/>
    <col width="16" customWidth="1" min="7" max="7"/>
    <col width="16" customWidth="1" min="8" max="8"/>
    <col width="16" customWidth="1" min="9" max="9"/>
    <col width="12" customWidth="1" min="10" max="10"/>
  </cols>
  <sheetData>
    <row r="1" ht="36" customHeight="1">
      <c r="A1" s="1" t="inlineStr">
        <is>
          <t xml:space="preserve"> 01. Windows 11端末 JMeterセットアップ＆機能追加ガイド</t>
        </is>
      </c>
    </row>
    <row r="2" ht="22" customHeight="1">
      <c r="A2" s="2" t="inlineStr">
        <is>
          <t xml:space="preserve">  ■ Java環境整備・JMeter本体導入・ヒープ調整・Plugins Manager・各種プラグイン追加・起動確認</t>
        </is>
      </c>
    </row>
    <row r="4" ht="26" customHeight="1">
      <c r="A4" s="8" t="inlineStr">
        <is>
          <t xml:space="preserve"> ▶ 1. Windows 11 環境構築手順（ステップ・バイ・ステップ）</t>
        </is>
      </c>
    </row>
    <row r="5" ht="24" customHeight="1">
      <c r="A5" s="10" t="inlineStr">
        <is>
          <t>No</t>
        </is>
      </c>
      <c r="B5" s="10" t="inlineStr">
        <is>
          <t>構築工程</t>
        </is>
      </c>
      <c r="C5" s="11" t="n"/>
      <c r="D5" s="10" t="inlineStr">
        <is>
          <t>詳細手順・設定内容</t>
        </is>
      </c>
      <c r="E5" s="11" t="n"/>
      <c r="F5" s="11" t="n"/>
      <c r="G5" s="11" t="n"/>
      <c r="H5" s="10" t="inlineStr">
        <is>
          <t>検証コマンド・確認基準</t>
        </is>
      </c>
      <c r="I5" s="11" t="n"/>
      <c r="J5" s="10" t="inlineStr">
        <is>
          <t>重要度</t>
        </is>
      </c>
    </row>
    <row r="6" ht="54" customHeight="1">
      <c r="A6" s="12" t="inlineStr">
        <is>
          <t>1</t>
        </is>
      </c>
      <c r="B6" s="13" t="inlineStr">
        <is>
          <t>Java (JDK) の入手とインストール</t>
        </is>
      </c>
      <c r="C6" s="7" t="n"/>
      <c r="D6" s="6" t="inlineStr">
        <is>
          <t>JMeterはJavaアプリケーションのため、JDK 17または21 LTSが必要です。
・Amazon Corretto 17 または Eclipse Temurin 17 (x64 msi) を公式サイトより入手。
・インストーラを実行し、デフォルトパス (例: C:\Program Files\Amazon Corretto\jdk17.0.x) に導入。</t>
        </is>
      </c>
      <c r="E6" s="7" t="n"/>
      <c r="F6" s="7" t="n"/>
      <c r="G6" s="7" t="n"/>
      <c r="H6" s="6" t="inlineStr">
        <is>
          <t>・PowerShellで確認:
  java -version
・バージョン 17 または 21 が表示されれば成功。</t>
        </is>
      </c>
      <c r="I6" s="7" t="n"/>
      <c r="J6" s="28" t="inlineStr">
        <is>
          <t>必須</t>
        </is>
      </c>
    </row>
    <row r="7" ht="54" customHeight="1">
      <c r="A7" s="15" t="inlineStr">
        <is>
          <t>2</t>
        </is>
      </c>
      <c r="B7" s="16" t="inlineStr">
        <is>
          <t>環境変数 JAVA_HOME / PATH の設定</t>
        </is>
      </c>
      <c r="C7" s="17" t="n"/>
      <c r="D7" s="18" t="inlineStr">
        <is>
          <t>Windowsの検索バーで「環境変数」を検索 →「システム環境変数の編集」を開く。
・システム環境変数に新規作成: 変数名「JAVA_HOME」、変数値「C:\Program Files\Amazon Corretto\jdk17.0.x」
・Path変数を編集し、末尾に「%JAVA_HOME%\bin」を追加して最上位付近に移動。</t>
        </is>
      </c>
      <c r="E7" s="17" t="n"/>
      <c r="F7" s="17" t="n"/>
      <c r="G7" s="17" t="n"/>
      <c r="H7" s="18" t="inlineStr">
        <is>
          <t>・PowerShellを新規に開き実行:
  echo $env:JAVA_HOME
設定したパスが返ればOK。</t>
        </is>
      </c>
      <c r="I7" s="17" t="n"/>
      <c r="J7" s="28" t="inlineStr">
        <is>
          <t>必須</t>
        </is>
      </c>
    </row>
    <row r="8" ht="54" customHeight="1">
      <c r="A8" s="12" t="inlineStr">
        <is>
          <t>3</t>
        </is>
      </c>
      <c r="B8" s="13" t="inlineStr">
        <is>
          <t>JMeter 本体のダウンロードと配置</t>
        </is>
      </c>
      <c r="C8" s="7" t="n"/>
      <c r="D8" s="6" t="inlineStr">
        <is>
          <t>Apache JMeter 公式サイト (https://jmeter.apache.org/download_jmeter.cgi) より、
「Binaries」項目の「apache-jmeter-5.6.3.zip」をダウンロード。
・zipを展開し、日本語やスペースを含まない短めのパス (推奨: C:\tools\apache-jmeter-5.6.3) に配置。
※注意: Program Files配下に置くと権限エラーや空白パスによるスクリプト障害の原因となるため避ける。</t>
        </is>
      </c>
      <c r="E8" s="7" t="n"/>
      <c r="F8" s="7" t="n"/>
      <c r="G8" s="7" t="n"/>
      <c r="H8" s="6" t="inlineStr">
        <is>
          <t>・C:\tools\apache-jmeter-5.6.3\bin\jmeter.bat が存在することを確認。</t>
        </is>
      </c>
      <c r="I8" s="7" t="n"/>
      <c r="J8" s="28" t="inlineStr">
        <is>
          <t>必須</t>
        </is>
      </c>
    </row>
    <row r="9" ht="54" customHeight="1">
      <c r="A9" s="15" t="inlineStr">
        <is>
          <t>4</t>
        </is>
      </c>
      <c r="B9" s="16" t="inlineStr">
        <is>
          <t>環境変数 JMETER_HOME の設定</t>
        </is>
      </c>
      <c r="C9" s="17" t="n"/>
      <c r="D9" s="18" t="inlineStr">
        <is>
          <t>システム環境変数に新規追加:
・変数名: JMETER_HOME
・変数値: C:\tools\apache-jmeter-5.6.3
・Path変数の編集: 末尾に「%JMETER_HOME%\bin」を追加。</t>
        </is>
      </c>
      <c r="E9" s="17" t="n"/>
      <c r="F9" s="17" t="n"/>
      <c r="G9" s="17" t="n"/>
      <c r="H9" s="18" t="inlineStr">
        <is>
          <t>・任意のフォルダからPowerShellで:
  jmeter -v
を実行し、JMeterのバージョンロゴが表示されること。</t>
        </is>
      </c>
      <c r="I9" s="17" t="n"/>
      <c r="J9" s="29" t="inlineStr">
        <is>
          <t>推奨</t>
        </is>
      </c>
    </row>
    <row r="10" ht="54" customHeight="1">
      <c r="A10" s="12" t="inlineStr">
        <is>
          <t>5</t>
        </is>
      </c>
      <c r="B10" s="13" t="inlineStr">
        <is>
          <t>ヒープメモリ設定の最適化 (setenv.bat)</t>
        </is>
      </c>
      <c r="C10" s="7" t="n"/>
      <c r="D10" s="6" t="inlineStr">
        <is>
          <t>シナリオ作成や単体検証時のOutOfMemoryErrorを防ぐためヒープを確保します。
・C:\tools\apache-jmeter-5.6.3\bin フォルダ直下に「setenv.bat」を新規作成。
・以下を記述して保存 (UTF-8またはANSI):
  set HEAP=-Xms1g -Xmx2g -XX:MaxMetaspaceSize=512m
※setenv.batを作成すると、jmeter.bat起動時に自動で読み込まれます。</t>
        </is>
      </c>
      <c r="E10" s="7" t="n"/>
      <c r="F10" s="7" t="n"/>
      <c r="G10" s="7" t="n"/>
      <c r="H10" s="6" t="inlineStr">
        <is>
          <t>・jmeter.bat 実行時のコンソール画面でヒープ引数が反映されていることを確認。</t>
        </is>
      </c>
      <c r="I10" s="7" t="n"/>
      <c r="J10" s="28" t="inlineStr">
        <is>
          <t>必須</t>
        </is>
      </c>
    </row>
    <row r="11" ht="54" customHeight="1">
      <c r="A11" s="15" t="inlineStr">
        <is>
          <t>6</t>
        </is>
      </c>
      <c r="B11" s="16" t="inlineStr">
        <is>
          <t>JMeter Plugins Manager の導入</t>
        </is>
      </c>
      <c r="C11" s="17" t="n"/>
      <c r="D11" s="18" t="inlineStr">
        <is>
          <t>追加機能（各種スレッドグループ、グラフ、関数）をGUI上からワンクリック導入する必須管理機構です。
・https://jmeter-plugins.org/wiki/PluginsManager/ より「jmeter-plugins-manager-1.10.jar」を入手。
・ダウンロードしたjarを「C:\tools\apache-jmeter-5.6.3\lib\ext」フォルダ内に直接配置。
・JMeterを再起動すると、上部メニュー「Options (オプション)」に「Plugins Manager」が追加される。</t>
        </is>
      </c>
      <c r="E11" s="17" t="n"/>
      <c r="F11" s="17" t="n"/>
      <c r="G11" s="17" t="n"/>
      <c r="H11" s="18" t="inlineStr">
        <is>
          <t>・Options &gt; Plugins Manager を開き、プラグイン一覧が表示されれば導入成功。</t>
        </is>
      </c>
      <c r="I11" s="17" t="n"/>
      <c r="J11" s="29" t="inlineStr">
        <is>
          <t>強く推奨</t>
        </is>
      </c>
    </row>
    <row r="12" ht="54" customHeight="1">
      <c r="A12" s="12" t="inlineStr">
        <is>
          <t>7</t>
        </is>
      </c>
      <c r="B12" s="13" t="inlineStr">
        <is>
          <t>JMeter GUI の起動確認と日本語/英語設定</t>
        </is>
      </c>
      <c r="C12" s="7" t="n"/>
      <c r="D12" s="6" t="inlineStr">
        <is>
          <t>bin\jmeter.bat をダブルクリックしてGUIを起動します。
・GUI言語を英語に固定する場合 (現場推奨: ネット情報や公式ドキュメント、エラーログと完全一致するため):
  bin\jmeter.properties を開き、以下を修正:
  language=en
・日本語表示にする場合:
  Options &gt; Choose Language &gt; Japanese を選択。</t>
        </is>
      </c>
      <c r="E12" s="7" t="n"/>
      <c r="F12" s="7" t="n"/>
      <c r="G12" s="7" t="n"/>
      <c r="H12" s="6" t="inlineStr">
        <is>
          <t>・GUI画面が正常に立ち上がり、エラーダイアログが出ないこと。</t>
        </is>
      </c>
      <c r="I12" s="7" t="n"/>
      <c r="J12" s="28" t="inlineStr">
        <is>
          <t>必須</t>
        </is>
      </c>
    </row>
    <row r="14" ht="26" customHeight="1">
      <c r="A14" s="8" t="inlineStr">
        <is>
          <t xml:space="preserve"> ▶ 2. JMeterで利用可能な主要機能と追加方法（Plugins Manager &amp; 拡張プラグイン）</t>
        </is>
      </c>
    </row>
    <row r="15" ht="24" customHeight="1">
      <c r="A15" s="10" t="inlineStr">
        <is>
          <t>機能・プラグイン名</t>
        </is>
      </c>
      <c r="B15" s="11" t="n"/>
      <c r="C15" s="10" t="inlineStr">
        <is>
          <t>カテゴリ</t>
        </is>
      </c>
      <c r="D15" s="10" t="inlineStr">
        <is>
          <t>提供形態</t>
        </is>
      </c>
      <c r="E15" s="10" t="inlineStr">
        <is>
          <t>追加・利用方法</t>
        </is>
      </c>
      <c r="F15" s="11" t="n"/>
      <c r="G15" s="10" t="inlineStr">
        <is>
          <t>機能概要・現場での活用メリット</t>
        </is>
      </c>
      <c r="H15" s="11" t="n"/>
      <c r="I15" s="11" t="n"/>
      <c r="J15" s="11" t="n"/>
    </row>
    <row r="16" ht="36" customHeight="1">
      <c r="A16" s="13" t="inlineStr">
        <is>
          <t>Custom Thread Groups</t>
        </is>
      </c>
      <c r="B16" s="7" t="n"/>
      <c r="C16" s="14" t="inlineStr">
        <is>
          <t>スレッドグループ拡張</t>
        </is>
      </c>
      <c r="D16" s="14" t="inlineStr">
        <is>
          <t>Plugins Manager</t>
        </is>
      </c>
      <c r="E16" s="6" t="inlineStr">
        <is>
          <t>Available Plugins で「Custom Thread Groups」をチェックし導入</t>
        </is>
      </c>
      <c r="F16" s="7" t="n"/>
      <c r="G16" s="6" t="inlineStr">
        <is>
          <t>Stepping Thread Group や Concurrency Thread Group を提供。急激な負荷ではなく現実的な段階的負荷（ランプアップ・維持・ランプダウン）を自在に設計可能。実務必須。</t>
        </is>
      </c>
      <c r="H16" s="7" t="n"/>
      <c r="I16" s="7" t="n"/>
      <c r="J16" s="7" t="n"/>
    </row>
    <row r="17" ht="36" customHeight="1">
      <c r="A17" s="16" t="inlineStr">
        <is>
          <t>3 Basic Graphs</t>
        </is>
      </c>
      <c r="B17" s="17" t="n"/>
      <c r="C17" s="19" t="inlineStr">
        <is>
          <t>基本グラフリスナー</t>
        </is>
      </c>
      <c r="D17" s="19" t="inlineStr">
        <is>
          <t>Plugins Manager</t>
        </is>
      </c>
      <c r="E17" s="18" t="inlineStr">
        <is>
          <t>Available Plugins で「3 Basic Graphs」をチェックし導入</t>
        </is>
      </c>
      <c r="F17" s="17" t="n"/>
      <c r="G17" s="18" t="inlineStr">
        <is>
          <t>Active Threads Over Time (アクティブスレッド推移), Response Times Over Time (応答時間推移), Transactions per Second (TPS推移) をリアルタイム表示。</t>
        </is>
      </c>
      <c r="H17" s="17" t="n"/>
      <c r="I17" s="17" t="n"/>
      <c r="J17" s="17" t="n"/>
    </row>
    <row r="18" ht="36" customHeight="1">
      <c r="A18" s="13" t="inlineStr">
        <is>
          <t>5 Additional Graphs</t>
        </is>
      </c>
      <c r="B18" s="7" t="n"/>
      <c r="C18" s="14" t="inlineStr">
        <is>
          <t>拡張グラフリスナー</t>
        </is>
      </c>
      <c r="D18" s="14" t="inlineStr">
        <is>
          <t>Plugins Manager</t>
        </is>
      </c>
      <c r="E18" s="6" t="inlineStr">
        <is>
          <t>Available Plugins で「5 Additional Graphs」をチェックし導入</t>
        </is>
      </c>
      <c r="F18" s="7" t="n"/>
      <c r="G18" s="6" t="inlineStr">
        <is>
          <t>Response Codes per Second (ステータスコード別推移), Latency Over Time (ネットワークレイテンシ推移), Connect Times Over Time (TCP接続時間推移) などを可視化。</t>
        </is>
      </c>
      <c r="H18" s="7" t="n"/>
      <c r="I18" s="7" t="n"/>
      <c r="J18" s="7" t="n"/>
    </row>
    <row r="19" ht="36" customHeight="1">
      <c r="A19" s="16" t="inlineStr">
        <is>
          <t>Custom JMeter Functions</t>
        </is>
      </c>
      <c r="B19" s="17" t="n"/>
      <c r="C19" s="19" t="inlineStr">
        <is>
          <t>追加組み込み関数</t>
        </is>
      </c>
      <c r="D19" s="19" t="inlineStr">
        <is>
          <t>Plugins Manager</t>
        </is>
      </c>
      <c r="E19" s="18" t="inlineStr">
        <is>
          <t>Available Plugins で「Custom JMeter Functions」をチェックし導入</t>
        </is>
      </c>
      <c r="F19" s="17" t="n"/>
      <c r="G19" s="18" t="inlineStr">
        <is>
          <t>${__base64Encode()}, ${__base64Decode()}, ${__UUID()}, ${__time()} などの強力な文字列・日時操作関数を追加。トークン認証や暗号化ヘッダ生成に重宝。</t>
        </is>
      </c>
      <c r="H19" s="17" t="n"/>
      <c r="I19" s="17" t="n"/>
      <c r="J19" s="17" t="n"/>
    </row>
    <row r="20" ht="36" customHeight="1">
      <c r="A20" s="13" t="inlineStr">
        <is>
          <t>JSON/YAML Plugins</t>
        </is>
      </c>
      <c r="B20" s="7" t="n"/>
      <c r="C20" s="14" t="inlineStr">
        <is>
          <t>JSON処理拡張</t>
        </is>
      </c>
      <c r="D20" s="14" t="inlineStr">
        <is>
          <t>Plugins Manager</t>
        </is>
      </c>
      <c r="E20" s="6" t="inlineStr">
        <is>
          <t>Available Plugins で「JSON/YAML Plugins」をチェックし導入</t>
        </is>
      </c>
      <c r="F20" s="7" t="n"/>
      <c r="G20" s="6" t="inlineStr">
        <is>
          <t>JSON Format PostProcessor や JSON Path Assertion 等、REST API の複雑なレスポンス検証・抽出を効率化。</t>
        </is>
      </c>
      <c r="H20" s="7" t="n"/>
      <c r="I20" s="7" t="n"/>
      <c r="J20" s="7" t="n"/>
    </row>
    <row r="21" ht="36" customHeight="1">
      <c r="A21" s="16" t="inlineStr">
        <is>
          <t>Dummy Sampler</t>
        </is>
      </c>
      <c r="B21" s="17" t="n"/>
      <c r="C21" s="19" t="inlineStr">
        <is>
          <t>ダミーサンプラー</t>
        </is>
      </c>
      <c r="D21" s="19" t="inlineStr">
        <is>
          <t>Plugins Manager</t>
        </is>
      </c>
      <c r="E21" s="18" t="inlineStr">
        <is>
          <t>Available Plugins で「Dummy Sampler」をチェックし導入</t>
        </is>
      </c>
      <c r="F21" s="17" t="n"/>
      <c r="G21" s="18" t="inlineStr">
        <is>
          <t>実際のネットワーク通信を行わず、指定したレスポンスコード・レスポンス本文・応答時間を模擬返却するモックサンプラー。シナリオ単体検証やデバッグに極めて有効。</t>
        </is>
      </c>
      <c r="H21" s="17" t="n"/>
      <c r="I21" s="17" t="n"/>
      <c r="J21" s="17" t="n"/>
    </row>
    <row r="22" ht="36" customHeight="1">
      <c r="A22" s="13" t="inlineStr">
        <is>
          <t>JSR223 Groovy</t>
        </is>
      </c>
      <c r="B22" s="7" t="n"/>
      <c r="C22" s="14" t="inlineStr">
        <is>
          <t>スクリプト拡張機能</t>
        </is>
      </c>
      <c r="D22" s="14" t="inlineStr">
        <is>
          <t>標準機能 (組込済)</t>
        </is>
      </c>
      <c r="E22" s="6" t="inlineStr">
        <is>
          <t>追加不要。Sampler / PreProcessor / PostProcessor で Language「groovy」を選択</t>
        </is>
      </c>
      <c r="F22" s="7" t="n"/>
      <c r="G22" s="6" t="inlineStr">
        <is>
          <t>Javaに極めて近いGroovyスクリプトを実行可能。複雑な認証トークン計算、HMAC署名生成、動的パラメータ加工、独自アサーションを最高速で実行可能。</t>
        </is>
      </c>
      <c r="H22" s="7" t="n"/>
      <c r="I22" s="7" t="n"/>
      <c r="J22" s="7" t="n"/>
    </row>
    <row r="23" ht="36" customHeight="1">
      <c r="A23" s="16" t="inlineStr">
        <is>
          <t>Regular Expression Extractor</t>
        </is>
      </c>
      <c r="B23" s="17" t="n"/>
      <c r="C23" s="19" t="inlineStr">
        <is>
          <t>正規表現抽出</t>
        </is>
      </c>
      <c r="D23" s="19" t="inlineStr">
        <is>
          <t>標準機能 (組込済)</t>
        </is>
      </c>
      <c r="E23" s="18" t="inlineStr">
        <is>
          <t>追加不要。各サンプラー配下に Add &gt; Post Processors &gt; Regular Expression Extractor</t>
        </is>
      </c>
      <c r="F23" s="17" t="n"/>
      <c r="G23" s="18" t="inlineStr">
        <is>
          <t>レスポンス本文・ヘッダーから正規表現で特定文字列（セッショントークン、ID等）を抽出し変数に保持する標準機能。高速でオーバーヘッドが極小。</t>
        </is>
      </c>
      <c r="H23" s="17" t="n"/>
      <c r="I23" s="17" t="n"/>
      <c r="J23" s="17" t="n"/>
    </row>
    <row r="25" ht="26" customHeight="1">
      <c r="A25" s="8" t="inlineStr">
        <is>
          <t xml:space="preserve"> ▶ 3. Windows 11 環境構築・プラグイン導入証跡貼付エリア</t>
        </is>
      </c>
    </row>
    <row r="26">
      <c r="A26" s="20" t="inlineStr">
        <is>
          <t>【画像・スクリーンショット貼付エリア】
● 対象: Windows 環境変数設定画面 &amp; java/jmeter コマンド実行結果
● 内容: システム環境変数の JAVA_HOME / PATH / JMETER_HOME 設定画面および PowerShell での java -version / jmeter -v 実行証跡キャプチャ
● 推奨サイズ: 幅800px × 高さ450px (16:9)
※ 貼付方法: Excel上部「挿入」リボン →「図」→「画像」→「このデバイス...」で画像を挿入し、この枠内にサイズ調整して配置してください。</t>
        </is>
      </c>
      <c r="B26" s="21" t="n"/>
      <c r="C26" s="21" t="n"/>
      <c r="D26" s="21" t="n"/>
      <c r="E26" s="22" t="n"/>
      <c r="F26" s="20" t="inlineStr">
        <is>
          <t>【画像・スクリーンショット貼付エリア】
● 対象: JMeter Plugins Manager 画面 &amp; プラグイン導入証跡
● 内容: Options &gt; Plugins Manager を開き、「Installed Plugins」または「Available Plugins」でプラグインを選択・適用した状態のキャプチャ
● 推奨サイズ: 幅800px × 高さ450px (16:9)
※ 貼付方法: Excel上部「挿入」リボン →「図」→「画像」→「このデバイス...」で画像を挿入し、この枠内にサイズ調整して配置してください。</t>
        </is>
      </c>
      <c r="G26" s="21" t="n"/>
      <c r="H26" s="21" t="n"/>
      <c r="I26" s="21" t="n"/>
      <c r="J26" s="22" t="n"/>
    </row>
    <row r="27">
      <c r="A27" s="23" t="n"/>
      <c r="E27" s="24" t="n"/>
      <c r="F27" s="23" t="n"/>
      <c r="J27" s="24" t="n"/>
    </row>
    <row r="28">
      <c r="A28" s="23" t="n"/>
      <c r="E28" s="24" t="n"/>
      <c r="F28" s="23" t="n"/>
      <c r="J28" s="24" t="n"/>
    </row>
    <row r="29">
      <c r="A29" s="23" t="n"/>
      <c r="E29" s="24" t="n"/>
      <c r="F29" s="23" t="n"/>
      <c r="J29" s="24" t="n"/>
    </row>
    <row r="30">
      <c r="A30" s="23" t="n"/>
      <c r="E30" s="24" t="n"/>
      <c r="F30" s="23" t="n"/>
      <c r="J30" s="24" t="n"/>
    </row>
    <row r="31">
      <c r="A31" s="23" t="n"/>
      <c r="E31" s="24" t="n"/>
      <c r="F31" s="23" t="n"/>
      <c r="J31" s="24" t="n"/>
    </row>
    <row r="32">
      <c r="A32" s="23" t="n"/>
      <c r="E32" s="24" t="n"/>
      <c r="F32" s="23" t="n"/>
      <c r="J32" s="24" t="n"/>
    </row>
    <row r="33">
      <c r="A33" s="23" t="n"/>
      <c r="E33" s="24" t="n"/>
      <c r="F33" s="23" t="n"/>
      <c r="J33" s="24" t="n"/>
    </row>
    <row r="34">
      <c r="A34" s="25" t="n"/>
      <c r="B34" s="26" t="n"/>
      <c r="C34" s="26" t="n"/>
      <c r="D34" s="26" t="n"/>
      <c r="E34" s="27" t="n"/>
      <c r="F34" s="25" t="n"/>
      <c r="G34" s="26" t="n"/>
      <c r="H34" s="26" t="n"/>
      <c r="I34" s="26" t="n"/>
      <c r="J34" s="27" t="n"/>
    </row>
  </sheetData>
  <mergeCells count="58">
    <mergeCell ref="D9:G9"/>
    <mergeCell ref="A14:J14"/>
    <mergeCell ref="B7:C7"/>
    <mergeCell ref="A15:B15"/>
    <mergeCell ref="D12:G12"/>
    <mergeCell ref="D8:G8"/>
    <mergeCell ref="H10:I10"/>
    <mergeCell ref="G20:J20"/>
    <mergeCell ref="E23:F23"/>
    <mergeCell ref="A4:J4"/>
    <mergeCell ref="G16:J16"/>
    <mergeCell ref="D5:G5"/>
    <mergeCell ref="E17:F17"/>
    <mergeCell ref="H9:I9"/>
    <mergeCell ref="B12:C12"/>
    <mergeCell ref="G22:J22"/>
    <mergeCell ref="A16:B16"/>
    <mergeCell ref="E20:F20"/>
    <mergeCell ref="H6:I6"/>
    <mergeCell ref="B11:C11"/>
    <mergeCell ref="E19:F19"/>
    <mergeCell ref="G21:J21"/>
    <mergeCell ref="D10:G10"/>
    <mergeCell ref="A18:B18"/>
    <mergeCell ref="B8:C8"/>
    <mergeCell ref="A1:J1"/>
    <mergeCell ref="H11:I11"/>
    <mergeCell ref="A21:B21"/>
    <mergeCell ref="G17:J17"/>
    <mergeCell ref="E15:F15"/>
    <mergeCell ref="G23:J23"/>
    <mergeCell ref="H7:I7"/>
    <mergeCell ref="D6:G6"/>
    <mergeCell ref="B10:C10"/>
    <mergeCell ref="D11:G11"/>
    <mergeCell ref="A17:B17"/>
    <mergeCell ref="B9:C9"/>
    <mergeCell ref="A23:B23"/>
    <mergeCell ref="G19:J19"/>
    <mergeCell ref="A25:J25"/>
    <mergeCell ref="A22:B22"/>
    <mergeCell ref="B6:C6"/>
    <mergeCell ref="H12:I12"/>
    <mergeCell ref="G18:J18"/>
    <mergeCell ref="A20:B20"/>
    <mergeCell ref="E16:F16"/>
    <mergeCell ref="F26:J34"/>
    <mergeCell ref="B5:C5"/>
    <mergeCell ref="A2:J2"/>
    <mergeCell ref="A19:B19"/>
    <mergeCell ref="D7:G7"/>
    <mergeCell ref="H5:I5"/>
    <mergeCell ref="E22:F22"/>
    <mergeCell ref="G15:J15"/>
    <mergeCell ref="H8:I8"/>
    <mergeCell ref="E18:F18"/>
    <mergeCell ref="E21:F21"/>
    <mergeCell ref="A26:E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showGridLines="1" workbookViewId="0">
      <selection activeCell="A1" sqref="A1"/>
    </sheetView>
  </sheetViews>
  <sheetFormatPr baseColWidth="8" defaultRowHeight="15"/>
  <cols>
    <col width="10" customWidth="1" min="1" max="1"/>
    <col width="16" customWidth="1" min="2" max="2"/>
    <col width="14" customWidth="1" min="3" max="3"/>
    <col width="14" customWidth="1" min="4" max="4"/>
    <col width="16" customWidth="1" min="5" max="5"/>
    <col width="16" customWidth="1" min="6" max="6"/>
    <col width="16" customWidth="1" min="7" max="7"/>
    <col width="16" customWidth="1" min="8" max="8"/>
    <col width="16" customWidth="1" min="9" max="9"/>
    <col width="12" customWidth="1" min="10" max="10"/>
  </cols>
  <sheetData>
    <row r="1" ht="36" customHeight="1">
      <c r="A1" s="1" t="inlineStr">
        <is>
          <t xml:space="preserve"> 02. JMeter GUI シナリオ作成・画面実行・結果確認・注意点ガイド</t>
        </is>
      </c>
    </row>
    <row r="2" ht="22" customHeight="1">
      <c r="A2" s="2" t="inlineStr">
        <is>
          <t xml:space="preserve">  ■ テスト計画構造・主要コンポーネント・画面実行手順・リスナー結果確認・確認観点・GUI実行禁止則</t>
        </is>
      </c>
    </row>
    <row r="4" ht="26" customHeight="1">
      <c r="A4" s="8" t="inlineStr">
        <is>
          <t xml:space="preserve"> ▶ 1. JMeter テスト計画の階層構造と主要コンポーネント解説</t>
        </is>
      </c>
    </row>
    <row r="5" ht="24" customHeight="1">
      <c r="A5" s="10" t="inlineStr">
        <is>
          <t>英語名</t>
        </is>
      </c>
      <c r="B5" s="11" t="n"/>
      <c r="C5" s="10" t="inlineStr">
        <is>
          <t>日本語名</t>
        </is>
      </c>
      <c r="D5" s="11" t="n"/>
      <c r="E5" s="10" t="inlineStr">
        <is>
          <t>機能解説・役割</t>
        </is>
      </c>
      <c r="F5" s="11" t="n"/>
      <c r="G5" s="11" t="n"/>
      <c r="H5" s="10" t="inlineStr">
        <is>
          <t>実務上の活用ポイント・注意点</t>
        </is>
      </c>
      <c r="I5" s="11" t="n"/>
      <c r="J5" s="11" t="n"/>
    </row>
    <row r="6" ht="36" customHeight="1">
      <c r="A6" s="13" t="inlineStr">
        <is>
          <t>Test Plan</t>
        </is>
      </c>
      <c r="B6" s="7" t="n"/>
      <c r="C6" s="13" t="inlineStr">
        <is>
          <t>テスト計画</t>
        </is>
      </c>
      <c r="D6" s="7" t="n"/>
      <c r="E6" s="6" t="inlineStr">
        <is>
          <t>最上位のルート要素。シナリオ全体の共通設定、ユーザー定義変数 (User Defined Variables)、テスト実行順序などを統括する。</t>
        </is>
      </c>
      <c r="F6" s="7" t="n"/>
      <c r="G6" s="7" t="n"/>
      <c r="H6" s="6" t="inlineStr">
        <is>
          <t>右クリック &gt; Add &gt; Config Element 等で全体変数を定義</t>
        </is>
      </c>
      <c r="I6" s="7" t="n"/>
      <c r="J6" s="7" t="n"/>
    </row>
    <row r="7" ht="36" customHeight="1">
      <c r="A7" s="16" t="inlineStr">
        <is>
          <t>Thread Group</t>
        </is>
      </c>
      <c r="B7" s="17" t="n"/>
      <c r="C7" s="16" t="inlineStr">
        <is>
          <t>スレッドグループ</t>
        </is>
      </c>
      <c r="D7" s="17" t="n"/>
      <c r="E7" s="18" t="inlineStr">
        <is>
          <t>仮想ユーザーの集合。同時実行ユーザー数 (Number of Threads)、ランプアップ時間 (Ramp-up Period)、ループ回数 (Loop Count)、測定継続時間 (Duration) を定義する。</t>
        </is>
      </c>
      <c r="F7" s="17" t="n"/>
      <c r="G7" s="17" t="n"/>
      <c r="H7" s="18" t="inlineStr">
        <is>
          <t>負荷テストの負荷プロファイルを決定する中核要素</t>
        </is>
      </c>
      <c r="I7" s="17" t="n"/>
      <c r="J7" s="17" t="n"/>
    </row>
    <row r="8" ht="36" customHeight="1">
      <c r="A8" s="13" t="inlineStr">
        <is>
          <t>HTTP Request Defaults</t>
        </is>
      </c>
      <c r="B8" s="7" t="n"/>
      <c r="C8" s="13" t="inlineStr">
        <is>
          <t>HTTP初期値設定</t>
        </is>
      </c>
      <c r="D8" s="7" t="n"/>
      <c r="E8" s="6" t="inlineStr">
        <is>
          <t>全HTTPサンプラーで共通するホスト名/IP、ポート番号、プロトコル (https/http)、エンコーディング (UTF-8) を一括定義する。</t>
        </is>
      </c>
      <c r="F8" s="7" t="n"/>
      <c r="G8" s="7" t="n"/>
      <c r="H8" s="6" t="inlineStr">
        <is>
          <t>ホストが変わっても1箇所の変更で全リクエストに反映可能</t>
        </is>
      </c>
      <c r="I8" s="7" t="n"/>
      <c r="J8" s="7" t="n"/>
    </row>
    <row r="9" ht="36" customHeight="1">
      <c r="A9" s="16" t="inlineStr">
        <is>
          <t>HTTP Header Manager</t>
        </is>
      </c>
      <c r="B9" s="17" t="n"/>
      <c r="C9" s="16" t="inlineStr">
        <is>
          <t>HTTPヘッダマネージャ</t>
        </is>
      </c>
      <c r="D9" s="17" t="n"/>
      <c r="E9" s="18" t="inlineStr">
        <is>
          <t>リクエストヘッダーを一括付与する。「Content-Type: application/json」や「Authorization: Bearer ${TOKEN}」等を定義。</t>
        </is>
      </c>
      <c r="F9" s="17" t="n"/>
      <c r="G9" s="17" t="n"/>
      <c r="H9" s="18" t="inlineStr">
        <is>
          <t>APIテストやREST通信では必須となるコンポーネント</t>
        </is>
      </c>
      <c r="I9" s="17" t="n"/>
      <c r="J9" s="17" t="n"/>
    </row>
    <row r="10" ht="36" customHeight="1">
      <c r="A10" s="13" t="inlineStr">
        <is>
          <t>HTTP Cookie Manager</t>
        </is>
      </c>
      <c r="B10" s="7" t="n"/>
      <c r="C10" s="13" t="inlineStr">
        <is>
          <t>HTTPクッキーマネージャ</t>
        </is>
      </c>
      <c r="D10" s="7" t="n"/>
      <c r="E10" s="6" t="inlineStr">
        <is>
          <t>サーバから発行されたCookie (JSESSIONID, セッションCookie等) を自動保持し、後続リクエストへ自動送信する。</t>
        </is>
      </c>
      <c r="F10" s="7" t="n"/>
      <c r="G10" s="7" t="n"/>
      <c r="H10" s="6" t="inlineStr">
        <is>
          <t>Web画面遷移やログイン状態を維持する場合に必須</t>
        </is>
      </c>
      <c r="I10" s="7" t="n"/>
      <c r="J10" s="7" t="n"/>
    </row>
    <row r="11" ht="36" customHeight="1">
      <c r="A11" s="16" t="inlineStr">
        <is>
          <t>CSV Data Set Config</t>
        </is>
      </c>
      <c r="B11" s="17" t="n"/>
      <c r="C11" s="16" t="inlineStr">
        <is>
          <t>CSVデータセット設定</t>
        </is>
      </c>
      <c r="D11" s="17" t="n"/>
      <c r="E11" s="18" t="inlineStr">
        <is>
          <t>外部CSVファイルを読み込み、行ごとに異なるデータ (ユーザーID, パスワード, 検索キーワード等) を変数として割り当てる。</t>
        </is>
      </c>
      <c r="F11" s="17" t="n"/>
      <c r="G11" s="17" t="n"/>
      <c r="H11" s="18" t="inlineStr">
        <is>
          <t>マルチユーザーによる負荷テストで同一データ衝突を防ぐ必須機能</t>
        </is>
      </c>
      <c r="I11" s="17" t="n"/>
      <c r="J11" s="17" t="n"/>
    </row>
    <row r="12" ht="36" customHeight="1">
      <c r="A12" s="13" t="inlineStr">
        <is>
          <t>HTTP Request</t>
        </is>
      </c>
      <c r="B12" s="7" t="n"/>
      <c r="C12" s="13" t="inlineStr">
        <is>
          <t>HTTPサンプラー</t>
        </is>
      </c>
      <c r="D12" s="7" t="n"/>
      <c r="E12" s="6" t="inlineStr">
        <is>
          <t>実際に送信する個々のHTTP/HTTPSリクエスト。パス (/api/v1/login)、メソッド (GET/POST/PUT)、Bodyデータ (JSON) などを指定する。</t>
        </is>
      </c>
      <c r="F12" s="7" t="n"/>
      <c r="G12" s="7" t="n"/>
      <c r="H12" s="6" t="inlineStr">
        <is>
          <t>測定対象となる各画面やAPIごとに1つずつ作成する</t>
        </is>
      </c>
      <c r="I12" s="7" t="n"/>
      <c r="J12" s="7" t="n"/>
    </row>
    <row r="13" ht="36" customHeight="1">
      <c r="A13" s="16" t="inlineStr">
        <is>
          <t>Response Assertion</t>
        </is>
      </c>
      <c r="B13" s="17" t="n"/>
      <c r="C13" s="16" t="inlineStr">
        <is>
          <t>レスポンスアサーション</t>
        </is>
      </c>
      <c r="D13" s="17" t="n"/>
      <c r="E13" s="18" t="inlineStr">
        <is>
          <t>サーバからの応答が正常であるかを自動検証する。HTTPステータスコードが200か、本文に特定文字列が含まれるかを判定。</t>
        </is>
      </c>
      <c r="F13" s="17" t="n"/>
      <c r="G13" s="17" t="n"/>
      <c r="H13" s="18" t="inlineStr">
        <is>
          <t>単に通信できただけでなく、期待通りの画面/JSONが返ったかを判定</t>
        </is>
      </c>
      <c r="I13" s="17" t="n"/>
      <c r="J13" s="17" t="n"/>
    </row>
    <row r="14" ht="36" customHeight="1">
      <c r="A14" s="13" t="inlineStr">
        <is>
          <t>Uniform Random Timer</t>
        </is>
      </c>
      <c r="B14" s="7" t="n"/>
      <c r="C14" s="13" t="inlineStr">
        <is>
          <t>均等ランダムタイマー</t>
        </is>
      </c>
      <c r="D14" s="7" t="n"/>
      <c r="E14" s="6" t="inlineStr">
        <is>
          <t>リクエスト間に人間らしい「思考時間 (Think Time)」を挿入する。(例: 最小1秒〜最大3秒のランダム待機)。</t>
        </is>
      </c>
      <c r="F14" s="7" t="n"/>
      <c r="G14" s="7" t="n"/>
      <c r="H14" s="6" t="inlineStr">
        <is>
          <t>タイマーがないと非現実的なDDOS攻撃となり正確な測定が不能</t>
        </is>
      </c>
      <c r="I14" s="7" t="n"/>
      <c r="J14" s="7" t="n"/>
    </row>
    <row r="15" ht="36" customHeight="1">
      <c r="A15" s="16" t="inlineStr">
        <is>
          <t>View Results Tree</t>
        </is>
      </c>
      <c r="B15" s="17" t="n"/>
      <c r="C15" s="16" t="inlineStr">
        <is>
          <t>結果をツリーで表示</t>
        </is>
      </c>
      <c r="D15" s="17" t="n"/>
      <c r="E15" s="18" t="inlineStr">
        <is>
          <t>デバッグ用リスナー。リクエストヘッダ・Body、レスポンスヘッダ・Body・ステータスコードを完全に可視化する。</t>
        </is>
      </c>
      <c r="F15" s="17" t="n"/>
      <c r="G15" s="17" t="n"/>
      <c r="H15" s="18" t="inlineStr">
        <is>
          <t>※注意: 単体デバッグ時のみ使用。高負荷テスト時は必ず無効化</t>
        </is>
      </c>
      <c r="I15" s="17" t="n"/>
      <c r="J15" s="17" t="n"/>
    </row>
    <row r="17" ht="26" customHeight="1">
      <c r="A17" s="8" t="inlineStr">
        <is>
          <t xml:space="preserve"> ▶ 2. シナリオ作成手順とGUI画面での実行・単体デバッグ操作</t>
        </is>
      </c>
    </row>
    <row r="18" ht="54" customHeight="1">
      <c r="A18" s="9" t="inlineStr">
        <is>
          <t>手順 1</t>
        </is>
      </c>
      <c r="B18" s="4" t="inlineStr">
        <is>
          <t>テスト計画の新規作成 &amp; 初期値定義</t>
        </is>
      </c>
      <c r="C18" s="6" t="inlineStr">
        <is>
          <t>1. JMeter起動後、「Test Plan」を選択し名前をわかりやすく変更 (例: TP_EC_UserScenario)。
2. Test Planを右クリック &gt; Add &gt; Config Element &gt; HTTP Request Defaults を追加。
   - Server Name or IP: 接続先ドメインまたはIP (例: api-stg.example.local)
   - Port Number: 443 (HTTPS) または 80 (HTTP)
   - Protocol: https
   - Content encoding: UTF-8
3. Test Planを右クリック &gt; Add &gt; Config Element &gt; HTTP Header Manager を追加。
   - Name: Content-Type, Value: application/json
4. Cookieが必要な場合は HTTP Cookie Manager を追加 (Clear cookies each iteration にチェック)。</t>
        </is>
      </c>
      <c r="D18" s="7" t="n"/>
      <c r="E18" s="7" t="n"/>
      <c r="F18" s="7" t="n"/>
      <c r="G18" s="7" t="n"/>
      <c r="H18" s="7" t="n"/>
      <c r="I18" s="7" t="n"/>
      <c r="J18" s="7" t="n"/>
    </row>
    <row r="19" ht="54" customHeight="1">
      <c r="A19" s="9" t="inlineStr">
        <is>
          <t>手順 2</t>
        </is>
      </c>
      <c r="B19" s="4" t="inlineStr">
        <is>
          <t>スレッドグループの追加と単体デバッグ設定</t>
        </is>
      </c>
      <c r="C19" s="6" t="inlineStr">
        <is>
          <t>1. Test Planを右クリック &gt; Add &gt; Threads (Users) &gt; Thread Group を追加。
2. 本番負荷ではなく「単体デバッグ用」として以下を設定:
   - Number of Threads (users): 1 (必ず1ユーザーで開始)
   - Ramp-up period (seconds): 0
   - Loop Count: 1
※本番用の負荷パラメータ (スレッド数50, ランプアップ60秒, 時間指定1200秒など) はプロパティ化 (${__P(threads, 50)}) してCLI引数で制御します。</t>
        </is>
      </c>
      <c r="D19" s="7" t="n"/>
      <c r="E19" s="7" t="n"/>
      <c r="F19" s="7" t="n"/>
      <c r="G19" s="7" t="n"/>
      <c r="H19" s="7" t="n"/>
      <c r="I19" s="7" t="n"/>
      <c r="J19" s="7" t="n"/>
    </row>
    <row r="20" ht="54" customHeight="1">
      <c r="A20" s="9" t="inlineStr">
        <is>
          <t>手順 3</t>
        </is>
      </c>
      <c r="B20" s="4" t="inlineStr">
        <is>
          <t>HTTPサンプラーの作成とアサーション追加</t>
        </is>
      </c>
      <c r="C20" s="6" t="inlineStr">
        <is>
          <t>1. Thread Groupを右クリック &gt; Add &gt; Sampler &gt; HTTP Request を追加。
   - サンプラー名: 01_Login_API (ナンバリングすると分析レポートで識別しやすい)
   - Method: POST, Path: /api/v1/auth/login
   - Body Data にJSONペイロードを入力 (例: {"username":"${USER_ID}", "password":"${PASSWORD}"})
2. HTTP Requestを右クリック &gt; Add &gt; Assertions &gt; Response Assertion を追加。
   - Field to Test: Response Code, Patterns to Test: 200 を入力。
3. 業務エラーを検知するため、もう1つ Response Assertion を追加:
   - Field to Test: Text Response, Patterns to Test: "success": true などの必須文字列を指定。</t>
        </is>
      </c>
      <c r="D20" s="7" t="n"/>
      <c r="E20" s="7" t="n"/>
      <c r="F20" s="7" t="n"/>
      <c r="G20" s="7" t="n"/>
      <c r="H20" s="7" t="n"/>
      <c r="I20" s="7" t="n"/>
      <c r="J20" s="7" t="n"/>
    </row>
    <row r="21" ht="54" customHeight="1">
      <c r="A21" s="9" t="inlineStr">
        <is>
          <t>手順 4</t>
        </is>
      </c>
      <c r="B21" s="4" t="inlineStr">
        <is>
          <t>CSVデータセット設定による複数ユーザーデータ読み込み</t>
        </is>
      </c>
      <c r="C21" s="6" t="inlineStr">
        <is>
          <t>1. Thread Groupを右クリック &gt; Add &gt; Config Element &gt; CSV Data Set Config を追加。
   - Filename: 相対パス (例: ../csv/users.csv) または絶対パス
   - File encoding: UTF-8
   - Variable Names: USER_ID,PASSWORD,EXPECTED_ROLE (カンマ区切り)
   - Delimiter: ,
   - Recycle on EOF?: True (末尾に達したら先頭に戻る)
   - Stop thread on EOF?: False</t>
        </is>
      </c>
      <c r="D21" s="7" t="n"/>
      <c r="E21" s="7" t="n"/>
      <c r="F21" s="7" t="n"/>
      <c r="G21" s="7" t="n"/>
      <c r="H21" s="7" t="n"/>
      <c r="I21" s="7" t="n"/>
      <c r="J21" s="7" t="n"/>
    </row>
    <row r="22" ht="54" customHeight="1">
      <c r="A22" s="9" t="inlineStr">
        <is>
          <t>手順 5</t>
        </is>
      </c>
      <c r="B22" s="4" t="inlineStr">
        <is>
          <t>画面での実行操作（ツールバー・ログビューア・結果クリア）</t>
        </is>
      </c>
      <c r="C22" s="6" t="inlineStr">
        <is>
          <t>1. 実行方法:
   - 上部ツールバーの緑色の「Start」ボタン (再生アイコン)、またはショートカット [Ctrl + R] で実行。
   - エラーを無視して強制実行する場合は「Start no pauses」[Ctrl + Shift + R]。
2. 停止方法:
   - 赤色の「Stop」ボタン: 即座に通信切断 (非推奨)。
   - 黄色の「Shutdown」ボタン: 現在のサンプラー完了を待って安全停止 (推奨)。
3. ログビューアの確認:
   - 画面右上にある「黄色い三角形 (感嘆符)」アイコンをクリックして下部にログパネルを表示。
   - スクリプト構文エラーやファイルが見つからない例外が発生していないかリアルタイム確認。
4. 実行結果のクリア:
   - 「ほうき1本」アイコン: 選択中リスナーの結果をクリア。
   - 「ほうき2本」アイコン [Ctrl + Shift + E]: 全リスナーの結果を全消去。再実行前に必ず押下。</t>
        </is>
      </c>
      <c r="D22" s="7" t="n"/>
      <c r="E22" s="7" t="n"/>
      <c r="F22" s="7" t="n"/>
      <c r="G22" s="7" t="n"/>
      <c r="H22" s="7" t="n"/>
      <c r="I22" s="7" t="n"/>
      <c r="J22" s="7" t="n"/>
    </row>
    <row r="23" ht="54" customHeight="1">
      <c r="A23" s="9" t="inlineStr">
        <is>
          <t>手順 6</t>
        </is>
      </c>
      <c r="B23" s="4" t="inlineStr">
        <is>
          <t>シナリオ (.jmx) の出力・保存</t>
        </is>
      </c>
      <c r="C23" s="6" t="inlineStr">
        <is>
          <t>1. 上部メニュー「File」&gt;「Save Test Plan as...」を選択。
2. わかりやすいファイル名 (例: sample_scenario.jmx) で作業フォルダに保存。
3. 【絶対厳守】Linux CLI実行前に、View Results Tree や Summary Report などのリスナーを右クリック &gt;「Disable (無効化)」するか、JMXから削除します。(GUI描画負荷によるメモリ枯渇を完全排除するため)。</t>
        </is>
      </c>
      <c r="D23" s="7" t="n"/>
      <c r="E23" s="7" t="n"/>
      <c r="F23" s="7" t="n"/>
      <c r="G23" s="7" t="n"/>
      <c r="H23" s="7" t="n"/>
      <c r="I23" s="7" t="n"/>
      <c r="J23" s="7" t="n"/>
    </row>
    <row r="25" ht="26" customHeight="1">
      <c r="A25" s="8" t="inlineStr">
        <is>
          <t xml:space="preserve"> ▶ 3. 結果レポート（リスナー）の確認方法・確認観点・重大注意点</t>
        </is>
      </c>
    </row>
    <row r="26" ht="24" customHeight="1">
      <c r="A26" s="10" t="inlineStr">
        <is>
          <t>リスナー名 / 項目</t>
        </is>
      </c>
      <c r="B26" s="11" t="n"/>
      <c r="C26" s="10" t="inlineStr">
        <is>
          <t>主用途</t>
        </is>
      </c>
      <c r="D26" s="10" t="inlineStr">
        <is>
          <t>確認方法・画面の見方・確認観点</t>
        </is>
      </c>
      <c r="E26" s="11" t="n"/>
      <c r="F26" s="11" t="n"/>
      <c r="G26" s="11" t="n"/>
      <c r="H26" s="10" t="inlineStr">
        <is>
          <t>現場での注意点・重大リスク</t>
        </is>
      </c>
      <c r="I26" s="11" t="n"/>
      <c r="J26" s="11" t="n"/>
    </row>
    <row r="27" ht="48" customHeight="1">
      <c r="A27" s="13" t="inlineStr">
        <is>
          <t>View Results Tree (結果をツリーで表示)</t>
        </is>
      </c>
      <c r="B27" s="7" t="n"/>
      <c r="C27" s="12" t="inlineStr">
        <is>
          <t>単体デバッグ</t>
        </is>
      </c>
      <c r="D27" s="6" t="inlineStr">
        <is>
          <t>・[Sampler result] タブ: HTTPステータス (200 OK)、レスポンスタイム (Load time)、データサイズを確認。
・[Request] タブ: 実際に送信されたURL、ヘッダ、Body内の変数 (${USER_ID}) が正しく置換されているか確認。
・[Response data] タブ: サーバから意図したJSON/HTMLが返っているか確認。
・画面左下のドロップダウンを「JSON Path Tester」や「RegExp Tester」に切り替えて抽出式のテストが可能。</t>
        </is>
      </c>
      <c r="E27" s="7" t="n"/>
      <c r="F27" s="7" t="n"/>
      <c r="G27" s="7" t="n"/>
      <c r="H27" s="6" t="inlineStr">
        <is>
          <t>単体デバッグ専用。全リクエストのBodyをオンメモリ保持するため、高負荷実行時に有効化すると数分でOut Of Memoryで強制停止する。本番実行時は必ず無効化。</t>
        </is>
      </c>
      <c r="I27" s="7" t="n"/>
      <c r="J27" s="7" t="n"/>
    </row>
    <row r="28" ht="48" customHeight="1">
      <c r="A28" s="16" t="inlineStr">
        <is>
          <t>Summary Report / Aggregate Report</t>
        </is>
      </c>
      <c r="B28" s="17" t="n"/>
      <c r="C28" s="15" t="inlineStr">
        <is>
          <t>統計サマリ確認</t>
        </is>
      </c>
      <c r="D28" s="18" t="inlineStr">
        <is>
          <t>・Samples: リクエスト総試行回数。
・Average: 平均応答時間 (ミリ秒)。
・Min / Max: 最小および最大応答時間。
・90% / 95% / 99% Line (Percentile): 全体の90%/95%/99%のユーザーがこの時間内に応答を得た境界値。
・Error %: アサーション失敗またはHTTPエラーの発生率。
・Throughput: 1秒あたりの処理完了数 (TPS)。</t>
        </is>
      </c>
      <c r="E28" s="17" t="n"/>
      <c r="F28" s="17" t="n"/>
      <c r="G28" s="17" t="n"/>
      <c r="H28" s="18" t="inlineStr">
        <is>
          <t>小規模な検証で統計値を確認するのに便利だが、高負荷テスト時はGUI集計の描画処理がCPUを消費するため、本番負荷はCLI (-l result.jtl) で出力させ、後からExcelやHTMLレポートで集計する。</t>
        </is>
      </c>
      <c r="I28" s="17" t="n"/>
      <c r="J28" s="17" t="n"/>
    </row>
    <row r="29" ht="48" customHeight="1">
      <c r="A29" s="13" t="inlineStr">
        <is>
          <t>【絶対厳守】GUI実行禁止則</t>
        </is>
      </c>
      <c r="B29" s="7" t="n"/>
      <c r="C29" s="12" t="inlineStr">
        <is>
          <t>高負荷実行の鉄則</t>
        </is>
      </c>
      <c r="D29" s="6" t="inlineStr">
        <is>
          <t>JMeter GUIは「シナリオ作成」「単体デバッグ」を行うための画面であり、「負荷テスト本番を実行するための画面」ではない。
GUIで数千〜数万リクエストを流すと、Java Swingの画面描画スレッドがCPUを100%食いつぶし、JMeter自体がボトルネック化してレスポンス遅延や偽りのタイムアウトが多発する。</t>
        </is>
      </c>
      <c r="E29" s="7" t="n"/>
      <c r="F29" s="7" t="n"/>
      <c r="G29" s="7" t="n"/>
      <c r="H29" s="6" t="inlineStr">
        <is>
          <t>高負荷テストは必ずLinuxサーバ上のCLI (Non-GUIモード: jmeter -n -t ... -l ...) で実行すること。GUIは開発端末でのみ利用する。</t>
        </is>
      </c>
      <c r="I29" s="7" t="n"/>
      <c r="J29" s="7" t="n"/>
    </row>
    <row r="31" ht="26" customHeight="1">
      <c r="A31" s="8" t="inlineStr">
        <is>
          <t xml:space="preserve"> ▶ 4. シナリオ作成・デバッグ証跡貼付エリア</t>
        </is>
      </c>
    </row>
    <row r="32">
      <c r="A32" s="20" t="inlineStr">
        <is>
          <t>【画像・スクリーンショット貼付エリア】
● 対象: スレッドグループ＆HTTPサンプラー設定画面
● 内容: スレッド数・ループ回数の設定およびHTTP RequestのMethod/Path/Body設定画面のキャプチャ
● 推奨サイズ: 幅800px × 高さ450px (16:9)
※ 貼付方法: Excel上部「挿入」リボン →「図」→「画像」→「このデバイス...」で画像を挿入し、この枠内にサイズ調整して配置してください。</t>
        </is>
      </c>
      <c r="B32" s="21" t="n"/>
      <c r="C32" s="21" t="n"/>
      <c r="D32" s="21" t="n"/>
      <c r="E32" s="22" t="n"/>
      <c r="F32" s="20" t="inlineStr">
        <is>
          <t>【画像・スクリーンショット貼付エリア】
● 対象: 「結果をツリーで表示」デバッグ成功画面
● 内容: View Results Treeで全リクエストが緑色アイコンになり、Request/Responseが正常に疎通している証跡キャプチャ
● 推奨サイズ: 幅800px × 高さ450px (16:9)
※ 貼付方法: Excel上部「挿入」リボン →「図」→「画像」→「このデバイス...」で画像を挿入し、この枠内にサイズ調整して配置してください。</t>
        </is>
      </c>
      <c r="G32" s="21" t="n"/>
      <c r="H32" s="21" t="n"/>
      <c r="I32" s="21" t="n"/>
      <c r="J32" s="22" t="n"/>
    </row>
    <row r="33">
      <c r="A33" s="23" t="n"/>
      <c r="E33" s="24" t="n"/>
      <c r="F33" s="23" t="n"/>
      <c r="J33" s="24" t="n"/>
    </row>
    <row r="34">
      <c r="A34" s="23" t="n"/>
      <c r="E34" s="24" t="n"/>
      <c r="F34" s="23" t="n"/>
      <c r="J34" s="24" t="n"/>
    </row>
    <row r="35">
      <c r="A35" s="23" t="n"/>
      <c r="E35" s="24" t="n"/>
      <c r="F35" s="23" t="n"/>
      <c r="J35" s="24" t="n"/>
    </row>
    <row r="36">
      <c r="A36" s="23" t="n"/>
      <c r="E36" s="24" t="n"/>
      <c r="F36" s="23" t="n"/>
      <c r="J36" s="24" t="n"/>
    </row>
    <row r="37">
      <c r="A37" s="23" t="n"/>
      <c r="E37" s="24" t="n"/>
      <c r="F37" s="23" t="n"/>
      <c r="J37" s="24" t="n"/>
    </row>
    <row r="38">
      <c r="A38" s="23" t="n"/>
      <c r="E38" s="24" t="n"/>
      <c r="F38" s="23" t="n"/>
      <c r="J38" s="24" t="n"/>
    </row>
    <row r="39">
      <c r="A39" s="23" t="n"/>
      <c r="E39" s="24" t="n"/>
      <c r="F39" s="23" t="n"/>
      <c r="J39" s="24" t="n"/>
    </row>
    <row r="40">
      <c r="A40" s="25" t="n"/>
      <c r="B40" s="26" t="n"/>
      <c r="C40" s="26" t="n"/>
      <c r="D40" s="26" t="n"/>
      <c r="E40" s="27" t="n"/>
      <c r="F40" s="25" t="n"/>
      <c r="G40" s="26" t="n"/>
      <c r="H40" s="26" t="n"/>
      <c r="I40" s="26" t="n"/>
      <c r="J40" s="27" t="n"/>
    </row>
  </sheetData>
  <mergeCells count="70">
    <mergeCell ref="E10:G10"/>
    <mergeCell ref="C6:D6"/>
    <mergeCell ref="E13:G13"/>
    <mergeCell ref="A15:B15"/>
    <mergeCell ref="C15:D15"/>
    <mergeCell ref="A17:J17"/>
    <mergeCell ref="A11:B11"/>
    <mergeCell ref="C5:D5"/>
    <mergeCell ref="C14:D14"/>
    <mergeCell ref="A4:J4"/>
    <mergeCell ref="E9:G9"/>
    <mergeCell ref="D29:G29"/>
    <mergeCell ref="E15:G15"/>
    <mergeCell ref="H11:J11"/>
    <mergeCell ref="A6:B6"/>
    <mergeCell ref="H7:J7"/>
    <mergeCell ref="E6:G6"/>
    <mergeCell ref="D26:G26"/>
    <mergeCell ref="C10:D10"/>
    <mergeCell ref="A7:B7"/>
    <mergeCell ref="E11:G11"/>
    <mergeCell ref="C20:J20"/>
    <mergeCell ref="H28:J28"/>
    <mergeCell ref="A31:J31"/>
    <mergeCell ref="H13:J13"/>
    <mergeCell ref="H27:J27"/>
    <mergeCell ref="H12:J12"/>
    <mergeCell ref="C22:J22"/>
    <mergeCell ref="C9:D9"/>
    <mergeCell ref="A27:B27"/>
    <mergeCell ref="E7:G7"/>
    <mergeCell ref="A12:B12"/>
    <mergeCell ref="H15:J15"/>
    <mergeCell ref="A1:J1"/>
    <mergeCell ref="C12:D12"/>
    <mergeCell ref="A26:B26"/>
    <mergeCell ref="C21:J21"/>
    <mergeCell ref="H14:J14"/>
    <mergeCell ref="C11:D11"/>
    <mergeCell ref="H5:J5"/>
    <mergeCell ref="A5:B5"/>
    <mergeCell ref="H8:J8"/>
    <mergeCell ref="E12:G12"/>
    <mergeCell ref="A14:B14"/>
    <mergeCell ref="H26:J26"/>
    <mergeCell ref="D27:G27"/>
    <mergeCell ref="A8:B8"/>
    <mergeCell ref="C23:J23"/>
    <mergeCell ref="A25:J25"/>
    <mergeCell ref="C8:D8"/>
    <mergeCell ref="H29:J29"/>
    <mergeCell ref="F32:J40"/>
    <mergeCell ref="H10:J10"/>
    <mergeCell ref="C7:D7"/>
    <mergeCell ref="E14:G14"/>
    <mergeCell ref="A29:B29"/>
    <mergeCell ref="E5:G5"/>
    <mergeCell ref="E8:G8"/>
    <mergeCell ref="A10:B10"/>
    <mergeCell ref="A28:B28"/>
    <mergeCell ref="A13:B13"/>
    <mergeCell ref="H9:J9"/>
    <mergeCell ref="C13:D13"/>
    <mergeCell ref="A2:J2"/>
    <mergeCell ref="A9:B9"/>
    <mergeCell ref="C19:J19"/>
    <mergeCell ref="C18:J18"/>
    <mergeCell ref="A32:E40"/>
    <mergeCell ref="D28:G28"/>
    <mergeCell ref="H6:J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showGridLines="1" workbookViewId="0">
      <selection activeCell="A1" sqref="A1"/>
    </sheetView>
  </sheetViews>
  <sheetFormatPr baseColWidth="8" defaultRowHeight="15"/>
  <cols>
    <col width="8" customWidth="1" min="1" max="1"/>
    <col width="16" customWidth="1" min="2" max="2"/>
    <col width="14" customWidth="1" min="3" max="3"/>
    <col width="14" customWidth="1" min="4" max="4"/>
    <col width="16" customWidth="1" min="5" max="5"/>
    <col width="16" customWidth="1" min="6" max="6"/>
    <col width="16" customWidth="1" min="7" max="7"/>
    <col width="16" customWidth="1" min="8" max="8"/>
    <col width="16" customWidth="1" min="9" max="9"/>
    <col width="12" customWidth="1" min="10" max="10"/>
  </cols>
  <sheetData>
    <row r="1" ht="36" customHeight="1">
      <c r="A1" s="1" t="inlineStr">
        <is>
          <t xml:space="preserve"> 03. AWS Cognito認証＆API Gateway連携シナリオ構築実践ガイド</t>
        </is>
      </c>
    </row>
    <row r="2" ht="22" customHeight="1">
      <c r="A2" s="2" t="inlineStr">
        <is>
          <t xml:space="preserve">  ■ OAuth 2.0 Client Credentials・BASE64ヘッダ生成・正規表現抽出・X-API-ID付与・後続API連携</t>
        </is>
      </c>
    </row>
    <row r="4" ht="26" customHeight="1">
      <c r="A4" s="8" t="inlineStr">
        <is>
          <t xml:space="preserve"> ▶ 1. AWS Cognito OAuth 2.0 認証＆API Gateway 連携の全体フロー</t>
        </is>
      </c>
    </row>
    <row r="5" ht="28" customHeight="1">
      <c r="A5" s="9" t="inlineStr">
        <is>
          <t>Step 1</t>
        </is>
      </c>
      <c r="B5" s="4" t="inlineStr">
        <is>
          <t>変数定義 (UDV)</t>
        </is>
      </c>
      <c r="C5" s="9" t="inlineStr">
        <is>
          <t>JMeter内部</t>
        </is>
      </c>
      <c r="D5" s="5" t="n"/>
      <c r="E5" s="6" t="inlineStr">
        <is>
          <t>テスト計画配下の「User Defined Variables」にドメイン、ClientID、ClientSecret、X-API-ID等の接続情報を一括定義。</t>
        </is>
      </c>
      <c r="F5" s="7" t="n"/>
      <c r="G5" s="7" t="n"/>
      <c r="H5" s="7" t="n"/>
      <c r="I5" s="7" t="n"/>
      <c r="J5" s="7" t="n"/>
    </row>
    <row r="6" ht="28" customHeight="1">
      <c r="A6" s="9" t="inlineStr">
        <is>
          <t>Step 2</t>
        </is>
      </c>
      <c r="B6" s="4" t="inlineStr">
        <is>
          <t>Basic認証ヘッダ生成</t>
        </is>
      </c>
      <c r="C6" s="9" t="inlineStr">
        <is>
          <t>JMeter内部</t>
        </is>
      </c>
      <c r="D6" s="5" t="n"/>
      <c r="E6" s="6" t="inlineStr">
        <is>
          <t>JMeter標準関数 ${__base64Encode(${CLIENT_ID}:${CLIENT_SECRET})} を用い、Authorizationヘッダ文字列を動的生成。</t>
        </is>
      </c>
      <c r="F6" s="7" t="n"/>
      <c r="G6" s="7" t="n"/>
      <c r="H6" s="7" t="n"/>
      <c r="I6" s="7" t="n"/>
      <c r="J6" s="7" t="n"/>
    </row>
    <row r="7" ht="28" customHeight="1">
      <c r="A7" s="9" t="inlineStr">
        <is>
          <t>Step 3</t>
        </is>
      </c>
      <c r="B7" s="4" t="inlineStr">
        <is>
          <t>Cognito Token要求</t>
        </is>
      </c>
      <c r="C7" s="9" t="inlineStr">
        <is>
          <t>JMeter → Cognito</t>
        </is>
      </c>
      <c r="D7" s="5" t="n"/>
      <c r="E7" s="6" t="inlineStr">
        <is>
          <t>POST /oauth2/token に grant_type=client_credentials、Content-Type: application/x-www-form-urlencoded で送信。</t>
        </is>
      </c>
      <c r="F7" s="7" t="n"/>
      <c r="G7" s="7" t="n"/>
      <c r="H7" s="7" t="n"/>
      <c r="I7" s="7" t="n"/>
      <c r="J7" s="7" t="n"/>
    </row>
    <row r="8" ht="28" customHeight="1">
      <c r="A8" s="9" t="inlineStr">
        <is>
          <t>Step 4</t>
        </is>
      </c>
      <c r="B8" s="4" t="inlineStr">
        <is>
          <t>Token抽出・保持</t>
        </is>
      </c>
      <c r="C8" s="9" t="inlineStr">
        <is>
          <t>JMeter内部</t>
        </is>
      </c>
      <c r="D8" s="5" t="n"/>
      <c r="E8" s="6" t="inlineStr">
        <is>
          <t>「Regular Expression Extractor (正規表現抽出)」を用い、レスポンスBodyから access_token を抽出し変数に保持。</t>
        </is>
      </c>
      <c r="F8" s="7" t="n"/>
      <c r="G8" s="7" t="n"/>
      <c r="H8" s="7" t="n"/>
      <c r="I8" s="7" t="n"/>
      <c r="J8" s="7" t="n"/>
    </row>
    <row r="9" ht="28" customHeight="1">
      <c r="A9" s="9" t="inlineStr">
        <is>
          <t>Step 5</t>
        </is>
      </c>
      <c r="B9" s="4" t="inlineStr">
        <is>
          <t>API Gateway呼出</t>
        </is>
      </c>
      <c r="C9" s="9" t="inlineStr">
        <is>
          <t>JMeter → APIGW</t>
        </is>
      </c>
      <c r="D9" s="5" t="n"/>
      <c r="E9" s="6" t="inlineStr">
        <is>
          <t>HTTP Header Managerで「X-API-ID: ${X_API_ID}」「Authorization: Bearer ${ACCESS_TOKEN}」を付与し業務APIへ送信。</t>
        </is>
      </c>
      <c r="F9" s="7" t="n"/>
      <c r="G9" s="7" t="n"/>
      <c r="H9" s="7" t="n"/>
      <c r="I9" s="7" t="n"/>
      <c r="J9" s="7" t="n"/>
    </row>
    <row r="10" ht="28" customHeight="1">
      <c r="A10" s="9" t="inlineStr">
        <is>
          <t>Step 6</t>
        </is>
      </c>
      <c r="B10" s="4" t="inlineStr">
        <is>
          <t>応答検証 (Assertion)</t>
        </is>
      </c>
      <c r="C10" s="9" t="inlineStr">
        <is>
          <t>JMeter内部</t>
        </is>
      </c>
      <c r="D10" s="5" t="n"/>
      <c r="E10" s="6" t="inlineStr">
        <is>
          <t>Response Assertion で HTTP 200 OK およびレスポンス本文の業務データ存在を自動検証。</t>
        </is>
      </c>
      <c r="F10" s="7" t="n"/>
      <c r="G10" s="7" t="n"/>
      <c r="H10" s="7" t="n"/>
      <c r="I10" s="7" t="n"/>
      <c r="J10" s="7" t="n"/>
    </row>
    <row r="12" ht="26" customHeight="1">
      <c r="A12" s="8" t="inlineStr">
        <is>
          <t xml:space="preserve"> ▶ 2. JMeter各コンポーネントの設定パラメータ詳細一覧（完全設定マニュアル）</t>
        </is>
      </c>
    </row>
    <row r="13" ht="24" customHeight="1">
      <c r="A13" s="10" t="inlineStr">
        <is>
          <t>対象コンポーネント</t>
        </is>
      </c>
      <c r="B13" s="11" t="n"/>
      <c r="C13" s="10" t="inlineStr">
        <is>
          <t>配置場所 (階層)</t>
        </is>
      </c>
      <c r="D13" s="10" t="inlineStr">
        <is>
          <t>役割・設定意図</t>
        </is>
      </c>
      <c r="E13" s="11" t="n"/>
      <c r="F13" s="10" t="inlineStr">
        <is>
          <t>詳細設定プロパティ・記述内容</t>
        </is>
      </c>
      <c r="G13" s="11" t="n"/>
      <c r="H13" s="11" t="n"/>
      <c r="I13" s="11" t="n"/>
      <c r="J13" s="10" t="inlineStr">
        <is>
          <t>種別</t>
        </is>
      </c>
    </row>
    <row r="14" ht="68" customHeight="1">
      <c r="A14" s="13" t="inlineStr">
        <is>
          <t>User Defined Variables</t>
        </is>
      </c>
      <c r="B14" s="7" t="n"/>
      <c r="C14" s="14" t="inlineStr">
        <is>
          <t>テスト計画直下</t>
        </is>
      </c>
      <c r="D14" s="13" t="inlineStr">
        <is>
          <t>テスト環境変数の一括定義</t>
        </is>
      </c>
      <c r="E14" s="7" t="n"/>
      <c r="F14" s="6" t="inlineStr">
        <is>
          <t>・COGNITO_DOMAIN: auth-stg.example.amazoncognito.com
・CLIENT_ID: 1example23456789abcdef
・CLIENT_SECRET: 1234567890abcdefghijklmnopqrstuvwxyz
・APIGW_HOST: api-stg.example.com
・X_API_ID: my-api-key-998877
※後から環境が変わってもこの1箇所の変更で全リクエストに反映可能。</t>
        </is>
      </c>
      <c r="G14" s="7" t="n"/>
      <c r="H14" s="7" t="n"/>
      <c r="I14" s="7" t="n"/>
      <c r="J14" s="29" t="inlineStr">
        <is>
          <t>共通設定</t>
        </is>
      </c>
    </row>
    <row r="15" ht="68" customHeight="1">
      <c r="A15" s="16" t="inlineStr">
        <is>
          <t>HTTP Header Manager (Cognito用)</t>
        </is>
      </c>
      <c r="B15" s="17" t="n"/>
      <c r="C15" s="19" t="inlineStr">
        <is>
          <t>Cognitoサンプラー直下</t>
        </is>
      </c>
      <c r="D15" s="16" t="inlineStr">
        <is>
          <t>OAuth2トークン発行用ヘッダー</t>
        </is>
      </c>
      <c r="E15" s="17" t="n"/>
      <c r="F15" s="18" t="inlineStr">
        <is>
          <t>【ヘッダ設定値】
・Content-Type: application/x-www-form-urlencoded
・Authorization: Basic ${__base64Encode(${CLIENT_ID}:${CLIENT_SECRET})}
※JMeter 5.x標準関数 __base64Encode により、CLIENT_ID と CLIENT_SECRET をコロンで連結した文字列を動的にBase64エンコードしてBasic認証ヘッダを生成します。</t>
        </is>
      </c>
      <c r="G15" s="17" t="n"/>
      <c r="H15" s="17" t="n"/>
      <c r="I15" s="17" t="n"/>
      <c r="J15" s="28" t="inlineStr">
        <is>
          <t>必須</t>
        </is>
      </c>
    </row>
    <row r="16" ht="68" customHeight="1">
      <c r="A16" s="13" t="inlineStr">
        <is>
          <t>HTTP Request (01_Auth_CognitoToken)</t>
        </is>
      </c>
      <c r="B16" s="7" t="n"/>
      <c r="C16" s="14" t="inlineStr">
        <is>
          <t>スレッドグループ直下</t>
        </is>
      </c>
      <c r="D16" s="13" t="inlineStr">
        <is>
          <t>Cognitoトークンエンドポイント呼出</t>
        </is>
      </c>
      <c r="E16" s="7" t="n"/>
      <c r="F16" s="6" t="inlineStr">
        <is>
          <t>【サンプラー設定値】
・Protocol: https
・Server Name or IP: ${COGNITO_DOMAIN}
・Port: 443
・Method: POST
・Path: /oauth2/token
【Parameters タブ】(または Body Data)
・Name: grant_type, Value: client_credentials
・Name: scope, Value: resource-server/read (スコープ指定が必要な場合)</t>
        </is>
      </c>
      <c r="G16" s="7" t="n"/>
      <c r="H16" s="7" t="n"/>
      <c r="I16" s="7" t="n"/>
      <c r="J16" s="28" t="inlineStr">
        <is>
          <t>必須</t>
        </is>
      </c>
    </row>
    <row r="17" ht="68" customHeight="1">
      <c r="A17" s="16" t="inlineStr">
        <is>
          <t>Regular Expression Extractor</t>
        </is>
      </c>
      <c r="B17" s="17" t="n"/>
      <c r="C17" s="19" t="inlineStr">
        <is>
          <t>01_Auth_CognitoToken 直下 (Post Processors)</t>
        </is>
      </c>
      <c r="D17" s="16" t="inlineStr">
        <is>
          <t>正規表現によるトークン抽出と保持</t>
        </is>
      </c>
      <c r="E17" s="17" t="n"/>
      <c r="F17" s="18" t="inlineStr">
        <is>
          <t>【正規表現抽出器の設定値】
・Apply to: Main sample only
・Field to check: Body
・Name of created variable: ACCESS_TOKEN
・Regular Expression: "access_token"\s*:\s*"([^"]+)"
・Template: $1$
・Match No. (0 for Random): 1
・Default Value: TOKEN_EXTRACT_ERROR
※抽出されたトークンは ${ACCESS_TOKEN} として後続の全サンプラーで利用可能。</t>
        </is>
      </c>
      <c r="G17" s="17" t="n"/>
      <c r="H17" s="17" t="n"/>
      <c r="I17" s="17" t="n"/>
      <c r="J17" s="28" t="inlineStr">
        <is>
          <t>極めて重要</t>
        </is>
      </c>
    </row>
    <row r="18" ht="68" customHeight="1">
      <c r="A18" s="13" t="inlineStr">
        <is>
          <t>(参考) JSON Extractor</t>
        </is>
      </c>
      <c r="B18" s="7" t="n"/>
      <c r="C18" s="14" t="inlineStr">
        <is>
          <t>01_Auth_CognitoToken 直下 (Post Processors)</t>
        </is>
      </c>
      <c r="D18" s="13" t="inlineStr">
        <is>
          <t>JSONPathによるトークン抽出 (代替手段)</t>
        </is>
      </c>
      <c r="E18" s="7" t="n"/>
      <c r="F18" s="6" t="inlineStr">
        <is>
          <t>【JSON抽出器の設定値】(正規表現抽出の代替えとして利用可能)
・Names of created variables: JSON_TOKEN
・JSON Path expressions: $.access_token
・Match Numbers: 1
・Default Values: NOT_FOUND
※JSON構造が明確な場合はJSON Extractorも可。正規表現抽出はより軽量で高速に動作します。</t>
        </is>
      </c>
      <c r="G18" s="7" t="n"/>
      <c r="H18" s="7" t="n"/>
      <c r="I18" s="7" t="n"/>
      <c r="J18" s="29" t="inlineStr">
        <is>
          <t>推奨代替</t>
        </is>
      </c>
    </row>
    <row r="19" ht="68" customHeight="1">
      <c r="A19" s="16" t="inlineStr">
        <is>
          <t>HTTP Header Manager (APIGW用)</t>
        </is>
      </c>
      <c r="B19" s="17" t="n"/>
      <c r="C19" s="19" t="inlineStr">
        <is>
          <t>02_APIGW_Resource 直下</t>
        </is>
      </c>
      <c r="D19" s="16" t="inlineStr">
        <is>
          <t>API Gateway &amp; 認証ヘッダー付与</t>
        </is>
      </c>
      <c r="E19" s="17" t="n"/>
      <c r="F19" s="18" t="inlineStr">
        <is>
          <t>【ヘッダ設定値】
・X-API-ID: ${X_API_ID}  (API Gatewayで要求されるAPI識別子・APIキー)
・Authorization: Bearer ${ACCESS_TOKEN}  (Cognitoで取得したアクセストークン)
・Content-Type: application/json
・Accept: application/json</t>
        </is>
      </c>
      <c r="G19" s="17" t="n"/>
      <c r="H19" s="17" t="n"/>
      <c r="I19" s="17" t="n"/>
      <c r="J19" s="28" t="inlineStr">
        <is>
          <t>必須</t>
        </is>
      </c>
    </row>
    <row r="20" ht="68" customHeight="1">
      <c r="A20" s="13" t="inlineStr">
        <is>
          <t>HTTP Request (02_APIGW_Resource)</t>
        </is>
      </c>
      <c r="B20" s="7" t="n"/>
      <c r="C20" s="14" t="inlineStr">
        <is>
          <t>スレッドグループ直下</t>
        </is>
      </c>
      <c r="D20" s="13" t="inlineStr">
        <is>
          <t>API Gateway 業務リソース呼出</t>
        </is>
      </c>
      <c r="E20" s="7" t="n"/>
      <c r="F20" s="6" t="inlineStr">
        <is>
          <t>【サンプラー設定値】
・Protocol: https
・Server Name or IP: ${APIGW_HOST}
・Port: 443
・Method: GET (または POST)
・Path: /v1/customers/profile
・(POSTの場合) Body Data: {"query": "sample"}</t>
        </is>
      </c>
      <c r="G20" s="7" t="n"/>
      <c r="H20" s="7" t="n"/>
      <c r="I20" s="7" t="n"/>
      <c r="J20" s="28" t="inlineStr">
        <is>
          <t>必須</t>
        </is>
      </c>
    </row>
    <row r="21" ht="68" customHeight="1">
      <c r="A21" s="16" t="inlineStr">
        <is>
          <t>Response Assertion</t>
        </is>
      </c>
      <c r="B21" s="17" t="n"/>
      <c r="C21" s="19" t="inlineStr">
        <is>
          <t>02_APIGW_Resource 直下 (Assertions)</t>
        </is>
      </c>
      <c r="D21" s="16" t="inlineStr">
        <is>
          <t>正常応答とレスポンス検証</t>
        </is>
      </c>
      <c r="E21" s="17" t="n"/>
      <c r="F21" s="18" t="inlineStr">
        <is>
          <t>【アサーション設定値】
・Field to Test: Response Code, Patterns: 200 (HTTP正常)
・Field to Test: Text Response, Patterns: "customerId": (業務データ存在確認)
※単に200が返るだけでなく、意図通りの顧客JSONが返却されているかを厳密判定。</t>
        </is>
      </c>
      <c r="G21" s="17" t="n"/>
      <c r="H21" s="17" t="n"/>
      <c r="I21" s="17" t="n"/>
      <c r="J21" s="28" t="inlineStr">
        <is>
          <t>必須</t>
        </is>
      </c>
    </row>
    <row r="23" ht="26" customHeight="1">
      <c r="A23" s="8" t="inlineStr">
        <is>
          <t xml:space="preserve"> ▶ 3. 正規表現抽出 (Regular Expression Extractor) の設定値完全解説</t>
        </is>
      </c>
    </row>
    <row r="24" ht="24" customHeight="1">
      <c r="A24" s="10" t="inlineStr">
        <is>
          <t>設定プロパティ名</t>
        </is>
      </c>
      <c r="B24" s="11" t="n"/>
      <c r="C24" s="11" t="n"/>
      <c r="D24" s="10" t="inlineStr">
        <is>
          <t>推奨設定値</t>
        </is>
      </c>
      <c r="E24" s="11" t="n"/>
      <c r="F24" s="10" t="inlineStr">
        <is>
          <t>初心者向け技術解説・実務上の注意点</t>
        </is>
      </c>
      <c r="G24" s="11" t="n"/>
      <c r="H24" s="11" t="n"/>
      <c r="I24" s="11" t="n"/>
      <c r="J24" s="11" t="n"/>
    </row>
    <row r="25" ht="42" customHeight="1">
      <c r="A25" s="13" t="inlineStr">
        <is>
          <t>参照名 (Reference Name)</t>
        </is>
      </c>
      <c r="B25" s="7" t="n"/>
      <c r="C25" s="7" t="n"/>
      <c r="D25" s="30" t="inlineStr">
        <is>
          <t>ACCESS_TOKEN</t>
        </is>
      </c>
      <c r="E25" s="7" t="n"/>
      <c r="F25" s="6" t="inlineStr">
        <is>
          <t>抽出した値を格納するJMeter変数名。後続リクエストで ${ACCESS_TOKEN} として参照可能になります。空欄だとエラーになります。</t>
        </is>
      </c>
      <c r="G25" s="7" t="n"/>
      <c r="H25" s="7" t="n"/>
      <c r="I25" s="7" t="n"/>
      <c r="J25" s="7" t="n"/>
    </row>
    <row r="26" ht="42" customHeight="1">
      <c r="A26" s="16" t="inlineStr">
        <is>
          <t>正規表現 (Regular Expression)</t>
        </is>
      </c>
      <c r="B26" s="17" t="n"/>
      <c r="C26" s="17" t="n"/>
      <c r="D26" s="31" t="inlineStr">
        <is>
          <t>"access_token"\s*:\s*"([^"]+)"</t>
        </is>
      </c>
      <c r="E26" s="17" t="n"/>
      <c r="F26" s="18" t="inlineStr">
        <is>
          <t>・"access_token": JSON内のキー名。
・\s*:\s*: コロンの前後に半角空白や改行が何個あっても許容する指定。
・"([^"]+)": ダブルクォーテーションで囲まれた「閉じクォート以外の任意の1文字以上」をグループ1としてキャプチャ。トークン文字列本体を正確に切り出します。</t>
        </is>
      </c>
      <c r="G26" s="17" t="n"/>
      <c r="H26" s="17" t="n"/>
      <c r="I26" s="17" t="n"/>
      <c r="J26" s="17" t="n"/>
    </row>
    <row r="27" ht="42" customHeight="1">
      <c r="A27" s="13" t="inlineStr">
        <is>
          <t>テンプレート (Template)</t>
        </is>
      </c>
      <c r="B27" s="7" t="n"/>
      <c r="C27" s="7" t="n"/>
      <c r="D27" s="30" t="inlineStr">
        <is>
          <t>$1$</t>
        </is>
      </c>
      <c r="E27" s="7" t="n"/>
      <c r="F27" s="6" t="inlineStr">
        <is>
          <t>正規表現内のどのキャプチャグループ（括弧）を変数に代入するかを指定します。
・$1$: 1番目の括弧 ([^"]+) の内容のみを抽出 (トークン文字列そのもの)。
※$0$ を指定するとマッチ全体 ("access_token":"eyJ...") が格納されてしまい認証エラーになるので注意。</t>
        </is>
      </c>
      <c r="G27" s="7" t="n"/>
      <c r="H27" s="7" t="n"/>
      <c r="I27" s="7" t="n"/>
      <c r="J27" s="7" t="n"/>
    </row>
    <row r="28" ht="42" customHeight="1">
      <c r="A28" s="16" t="inlineStr">
        <is>
          <t>一致番号 (Match No.)</t>
        </is>
      </c>
      <c r="B28" s="17" t="n"/>
      <c r="C28" s="17" t="n"/>
      <c r="D28" s="31" t="inlineStr">
        <is>
          <t>1</t>
        </is>
      </c>
      <c r="E28" s="17" t="n"/>
      <c r="F28" s="18" t="inlineStr">
        <is>
          <t>レスポンス内にマッチが複数あった場合の選択基準。
・1: 最初に見つかったマッチを採用 (通常は1を指定)。
・0: 見つかったマッチの中からランダムに選択。
・-1: すべてのマッチを配列変数 (ACCESS_TOKEN_1, ACCESS_TOKEN_2...) として全件保持。</t>
        </is>
      </c>
      <c r="G28" s="17" t="n"/>
      <c r="H28" s="17" t="n"/>
      <c r="I28" s="17" t="n"/>
      <c r="J28" s="17" t="n"/>
    </row>
    <row r="29" ht="42" customHeight="1">
      <c r="A29" s="13" t="inlineStr">
        <is>
          <t>デフォルト値 (Default Value)</t>
        </is>
      </c>
      <c r="B29" s="7" t="n"/>
      <c r="C29" s="7" t="n"/>
      <c r="D29" s="30" t="inlineStr">
        <is>
          <t>TOKEN_EXTRACT_ERROR</t>
        </is>
      </c>
      <c r="E29" s="7" t="n"/>
      <c r="F29" s="6" t="inlineStr">
        <is>
          <t>正規表現がマッチせずトークン抽出に失敗した際に変数へセットされるフォールバック値。
・設定の意義: 空白にしておくと変数自体が未定義 (${ACCESS_TOKEN} のまま) となりデバッグが困難になります。明示的なエラー文字列を入れておくことで、後続APIが 401 Unauthorized となり、即座に抽出失敗と特定できます。</t>
        </is>
      </c>
      <c r="G29" s="7" t="n"/>
      <c r="H29" s="7" t="n"/>
      <c r="I29" s="7" t="n"/>
      <c r="J29" s="7" t="n"/>
    </row>
    <row r="31" ht="26" customHeight="1">
      <c r="A31" s="8" t="inlineStr">
        <is>
          <t xml:space="preserve"> ▶ 4. Client ID &amp; Secret の BASE64 エンコード手法の比較</t>
        </is>
      </c>
    </row>
    <row r="32" ht="48" customHeight="1">
      <c r="A32" s="4" t="inlineStr">
        <is>
          <t>手法 A: JMeter標準組み込み関数 (最推奨)</t>
        </is>
      </c>
      <c r="B32" s="5" t="n"/>
      <c r="C32" s="5" t="n"/>
      <c r="D32" s="32" t="inlineStr">
        <is>
          <t>Authorization: Basic ${__base64Encode(${CLIENT_ID}:${CLIENT_SECRET})}</t>
        </is>
      </c>
      <c r="E32" s="33" t="n"/>
      <c r="F32" s="33" t="n"/>
      <c r="G32" s="6" t="inlineStr">
        <is>
          <t>HTTP Header Manager のヘッダー値に上記関数を直接記述する。
・メリット: プラグイン導入不要、JMeter 5.x標準機能、設定が1行で完結しオーバーヘッドが極小。
・注意点: 変数名 (${CLIENT_ID}) のコロン前後に余計な半角空白を入れないこと。</t>
        </is>
      </c>
      <c r="H32" s="7" t="n"/>
      <c r="I32" s="7" t="n"/>
      <c r="J32" s="34" t="inlineStr">
        <is>
          <t>◎ 最も推奨</t>
        </is>
      </c>
    </row>
    <row r="33" ht="48" customHeight="1">
      <c r="A33" s="4" t="inlineStr">
        <is>
          <t>手法 B: JSR223 PreProcessor (Groovy)</t>
        </is>
      </c>
      <c r="B33" s="5" t="n"/>
      <c r="C33" s="5" t="n"/>
      <c r="D33" s="32" t="inlineStr">
        <is>
          <t>// サンプラー直下の JSR223 PreProcessor に記述
String raw = vars.get('CLIENT_ID') + ':' + vars.get('CLIENT_SECRET');
String encoded = raw.bytes.encodeBase64().toString();
vars.put('BASIC_AUTH_HEADER', 'Basic ' + encoded);
// Header Manager で Authorization: ${BASIC_AUTH_HEADER} と参照</t>
        </is>
      </c>
      <c r="E33" s="33" t="n"/>
      <c r="F33" s="33" t="n"/>
      <c r="G33" s="6" t="inlineStr">
        <is>
          <t>・メリット: 複雑なOAuth署名生成や動的ソルト付与、条件分岐処理にも柔軟に対応可能。
・注意点: Groovyスクリプトの基礎知識が必要。</t>
        </is>
      </c>
      <c r="H33" s="7" t="n"/>
      <c r="I33" s="7" t="n"/>
      <c r="J33" s="34" t="inlineStr">
        <is>
          <t>○ 応用向け</t>
        </is>
      </c>
    </row>
    <row r="34" ht="48" customHeight="1">
      <c r="A34" s="4" t="inlineStr">
        <is>
          <t>手法 C: 外部ツールでの事前エンコード</t>
        </is>
      </c>
      <c r="B34" s="5" t="n"/>
      <c r="C34" s="5" t="n"/>
      <c r="D34" s="32" t="inlineStr">
        <is>
          <t>User Defined Variables で BASIC_AUTH_HEADER に生成済みの Base64 文字列を直書き</t>
        </is>
      </c>
      <c r="E34" s="33" t="n"/>
      <c r="F34" s="33" t="n"/>
      <c r="G34" s="6" t="inlineStr">
        <is>
          <t>・メリット: 実行時に関数計算が発生しないため極めて軽量。
・注意点: クライアント認証情報が固定値となり、CSVによる動的マルチアカウント認証には利用できない。</t>
        </is>
      </c>
      <c r="H34" s="7" t="n"/>
      <c r="I34" s="7" t="n"/>
      <c r="J34" s="34" t="inlineStr">
        <is>
          <t>△ 固定アカウント専用</t>
        </is>
      </c>
    </row>
    <row r="36" ht="26" customHeight="1">
      <c r="A36" s="8" t="inlineStr">
        <is>
          <t xml:space="preserve"> ▶ 5. 単体デバッグ検証手順とよくあるエラーの対処チェックリスト</t>
        </is>
      </c>
    </row>
    <row r="37" ht="42" customHeight="1">
      <c r="A37" s="4" t="inlineStr">
        <is>
          <t>Cognito呼出で HTTP 400 Bad Request</t>
        </is>
      </c>
      <c r="B37" s="5" t="n"/>
      <c r="C37" s="5" t="n"/>
      <c r="D37" s="35" t="inlineStr">
        <is>
          <t>リクエスト形式またはBodyパラメータの誤り</t>
        </is>
      </c>
      <c r="E37" s="7" t="n"/>
      <c r="F37" s="6" t="inlineStr">
        <is>
          <t>・HTTP Header Manager で Content-Type: application/x-www-form-urlencoded が設定されているか？
・grant_type=client_credentials が「Parameters」タブまたは正しくURLエンコードされたBodyに記述されているか？</t>
        </is>
      </c>
      <c r="G37" s="7" t="n"/>
      <c r="H37" s="7" t="n"/>
      <c r="I37" s="7" t="n"/>
      <c r="J37" s="7" t="n"/>
    </row>
    <row r="38" ht="42" customHeight="1">
      <c r="A38" s="4" t="inlineStr">
        <is>
          <t>Cognito呼出で HTTP 401 Unauthorized</t>
        </is>
      </c>
      <c r="B38" s="5" t="n"/>
      <c r="C38" s="5" t="n"/>
      <c r="D38" s="35" t="inlineStr">
        <is>
          <t>Basic認証ヘッダのBase64エンコード不整合</t>
        </is>
      </c>
      <c r="E38" s="7" t="n"/>
      <c r="F38" s="6" t="inlineStr">
        <is>
          <t>・Authorization ヘッダが「Basic &lt;Base64文字列&gt;」の形式になっているか (Basicと文字列の間に半角スペース必須)。
・Client ID と Client Secret を連結するコロン (:) の前後に余計な空白文字が入っていないか確認。</t>
        </is>
      </c>
      <c r="G38" s="7" t="n"/>
      <c r="H38" s="7" t="n"/>
      <c r="I38" s="7" t="n"/>
      <c r="J38" s="7" t="n"/>
    </row>
    <row r="39" ht="42" customHeight="1">
      <c r="A39" s="4" t="inlineStr">
        <is>
          <t>API Gateway呼出で HTTP 403 Forbidden</t>
        </is>
      </c>
      <c r="B39" s="5" t="n"/>
      <c r="C39" s="5" t="n"/>
      <c r="D39" s="35" t="inlineStr">
        <is>
          <t>X-API-ID の不一致またはスコープ不足</t>
        </is>
      </c>
      <c r="E39" s="7" t="n"/>
      <c r="F39" s="6" t="inlineStr">
        <is>
          <t>・HTTP Header Manager で「X-API-ID: ${X_API_ID}」が正しくサンプラーに付与されているか？ (キー名の大文字小文字に注意)
・Cognito オーソライザーのリソースサーバー設定 (カスタムスコープ) がAPI Gatewayのメソッド要求と一致しているか確認。</t>
        </is>
      </c>
      <c r="G39" s="7" t="n"/>
      <c r="H39" s="7" t="n"/>
      <c r="I39" s="7" t="n"/>
      <c r="J39" s="7" t="n"/>
    </row>
    <row r="40" ht="42" customHeight="1">
      <c r="A40" s="4" t="inlineStr">
        <is>
          <t>後続リクエストで Authorization が空文字</t>
        </is>
      </c>
      <c r="B40" s="5" t="n"/>
      <c r="C40" s="5" t="n"/>
      <c r="D40" s="35" t="inlineStr">
        <is>
          <t>正規表現抽出の失敗またはスコープ範囲の誤り</t>
        </is>
      </c>
      <c r="E40" s="7" t="n"/>
      <c r="F40" s="6" t="inlineStr">
        <is>
          <t>・View Results Tree で 01_Auth_CognitoToken のレスポンスを開き、"access_token" キーが実際に含まれているか確認。
・正規表現抽出器の Apply to が「Main sample only」になっているか確認 (Sub-samples onlyになっていると抽出不能)。</t>
        </is>
      </c>
      <c r="G40" s="7" t="n"/>
      <c r="H40" s="7" t="n"/>
      <c r="I40" s="7" t="n"/>
      <c r="J40" s="7" t="n"/>
    </row>
    <row r="42" ht="26" customHeight="1">
      <c r="A42" s="8" t="inlineStr">
        <is>
          <t xml:space="preserve"> ▶ 6. Cognito認証＆API Gateway連携デバッグ証跡貼付エリア</t>
        </is>
      </c>
    </row>
    <row r="43">
      <c r="A43" s="20" t="inlineStr">
        <is>
          <t>【画像・スクリーンショット貼付エリア】
● 対象: Cognito トークン取得設定＆正規表現抽出 (Regular Expression Extractor) 画面
● 内容: Cognito HTTP Requestサンプラーの設定、HTTP Header Manager (Basic認証関数)、および正規表現抽出器の設定画面キャプチャ
● 推奨サイズ: 幅800px × 高さ450px (16:9)
※ 貼付方法: Excel上部「挿入」リボン →「図」→「画像」→「このデバイス...」で画像を挿入し、この枠内にサイズ調整して配置してください。</t>
        </is>
      </c>
      <c r="B43" s="21" t="n"/>
      <c r="C43" s="21" t="n"/>
      <c r="D43" s="21" t="n"/>
      <c r="E43" s="22" t="n"/>
      <c r="F43" s="20" t="inlineStr">
        <is>
          <t>【画像・スクリーンショット貼付エリア】
● 対象: API Gateway 呼出ヘッダ (X-API-ID &amp; Bearer Token)＆View Results Tree疎通証跡
● 内容: View Results Tree の [Request] タブで X-API-ID と Bearer ${ACCESS_TOKEN} が正しく展開され、HTTP 200 OK で疎通した証跡キャプチャ
● 推奨サイズ: 幅800px × 高さ450px (16:9)
※ 貼付方法: Excel上部「挿入」リボン →「図」→「画像」→「このデバイス...」で画像を挿入し、この枠内にサイズ調整して配置してください。</t>
        </is>
      </c>
      <c r="G43" s="21" t="n"/>
      <c r="H43" s="21" t="n"/>
      <c r="I43" s="21" t="n"/>
      <c r="J43" s="22" t="n"/>
    </row>
    <row r="44">
      <c r="A44" s="23" t="n"/>
      <c r="E44" s="24" t="n"/>
      <c r="F44" s="23" t="n"/>
      <c r="J44" s="24" t="n"/>
    </row>
    <row r="45">
      <c r="A45" s="23" t="n"/>
      <c r="E45" s="24" t="n"/>
      <c r="F45" s="23" t="n"/>
      <c r="J45" s="24" t="n"/>
    </row>
    <row r="46">
      <c r="A46" s="23" t="n"/>
      <c r="E46" s="24" t="n"/>
      <c r="F46" s="23" t="n"/>
      <c r="J46" s="24" t="n"/>
    </row>
    <row r="47">
      <c r="A47" s="23" t="n"/>
      <c r="E47" s="24" t="n"/>
      <c r="F47" s="23" t="n"/>
      <c r="J47" s="24" t="n"/>
    </row>
    <row r="48">
      <c r="A48" s="23" t="n"/>
      <c r="E48" s="24" t="n"/>
      <c r="F48" s="23" t="n"/>
      <c r="J48" s="24" t="n"/>
    </row>
    <row r="49">
      <c r="A49" s="23" t="n"/>
      <c r="E49" s="24" t="n"/>
      <c r="F49" s="23" t="n"/>
      <c r="J49" s="24" t="n"/>
    </row>
    <row r="50">
      <c r="A50" s="23" t="n"/>
      <c r="E50" s="24" t="n"/>
      <c r="F50" s="23" t="n"/>
      <c r="J50" s="24" t="n"/>
    </row>
    <row r="51">
      <c r="A51" s="25" t="n"/>
      <c r="B51" s="26" t="n"/>
      <c r="C51" s="26" t="n"/>
      <c r="D51" s="26" t="n"/>
      <c r="E51" s="27" t="n"/>
      <c r="F51" s="25" t="n"/>
      <c r="G51" s="26" t="n"/>
      <c r="H51" s="26" t="n"/>
      <c r="I51" s="26" t="n"/>
      <c r="J51" s="27" t="n"/>
    </row>
  </sheetData>
  <mergeCells count="88">
    <mergeCell ref="D20:E20"/>
    <mergeCell ref="A23:J23"/>
    <mergeCell ref="C6:D6"/>
    <mergeCell ref="A15:B15"/>
    <mergeCell ref="A37:C37"/>
    <mergeCell ref="E9:J9"/>
    <mergeCell ref="A26:C26"/>
    <mergeCell ref="A43:E51"/>
    <mergeCell ref="D13:E13"/>
    <mergeCell ref="F16:I16"/>
    <mergeCell ref="A36:J36"/>
    <mergeCell ref="F15:I15"/>
    <mergeCell ref="A17:B17"/>
    <mergeCell ref="A34:C34"/>
    <mergeCell ref="D24:E24"/>
    <mergeCell ref="F39:J39"/>
    <mergeCell ref="A19:B19"/>
    <mergeCell ref="E8:J8"/>
    <mergeCell ref="A12:J12"/>
    <mergeCell ref="D26:E26"/>
    <mergeCell ref="F13:I13"/>
    <mergeCell ref="E10:J10"/>
    <mergeCell ref="D19:E19"/>
    <mergeCell ref="C5:D5"/>
    <mergeCell ref="A4:J4"/>
    <mergeCell ref="A31:J31"/>
    <mergeCell ref="A32:C32"/>
    <mergeCell ref="F19:I19"/>
    <mergeCell ref="A29:C29"/>
    <mergeCell ref="A38:C38"/>
    <mergeCell ref="G32:I32"/>
    <mergeCell ref="D37:E37"/>
    <mergeCell ref="A40:C40"/>
    <mergeCell ref="F20:I20"/>
    <mergeCell ref="A24:C24"/>
    <mergeCell ref="C8:D8"/>
    <mergeCell ref="D39:E39"/>
    <mergeCell ref="F17:I17"/>
    <mergeCell ref="D15:E15"/>
    <mergeCell ref="D29:E29"/>
    <mergeCell ref="D38:E38"/>
    <mergeCell ref="A2:J2"/>
    <mergeCell ref="A42:J42"/>
    <mergeCell ref="A25:C25"/>
    <mergeCell ref="F29:J29"/>
    <mergeCell ref="D32:F32"/>
    <mergeCell ref="G34:I34"/>
    <mergeCell ref="F43:J51"/>
    <mergeCell ref="F40:J40"/>
    <mergeCell ref="F24:J24"/>
    <mergeCell ref="D27:E27"/>
    <mergeCell ref="D17:E17"/>
    <mergeCell ref="D33:F33"/>
    <mergeCell ref="F26:J26"/>
    <mergeCell ref="A28:C28"/>
    <mergeCell ref="A21:B21"/>
    <mergeCell ref="F38:J38"/>
    <mergeCell ref="D28:E28"/>
    <mergeCell ref="A14:B14"/>
    <mergeCell ref="D34:F34"/>
    <mergeCell ref="F27:J27"/>
    <mergeCell ref="D25:E25"/>
    <mergeCell ref="F18:I18"/>
    <mergeCell ref="C7:D7"/>
    <mergeCell ref="F37:J37"/>
    <mergeCell ref="E5:J5"/>
    <mergeCell ref="D14:E14"/>
    <mergeCell ref="F25:J25"/>
    <mergeCell ref="A27:C27"/>
    <mergeCell ref="D40:E40"/>
    <mergeCell ref="E6:J6"/>
    <mergeCell ref="G33:I33"/>
    <mergeCell ref="D21:E21"/>
    <mergeCell ref="F14:I14"/>
    <mergeCell ref="A16:B16"/>
    <mergeCell ref="A33:C33"/>
    <mergeCell ref="C10:D10"/>
    <mergeCell ref="C9:D9"/>
    <mergeCell ref="A18:B18"/>
    <mergeCell ref="E7:J7"/>
    <mergeCell ref="A1:J1"/>
    <mergeCell ref="D16:E16"/>
    <mergeCell ref="F28:J28"/>
    <mergeCell ref="F21:I21"/>
    <mergeCell ref="A39:C39"/>
    <mergeCell ref="D18:E18"/>
    <mergeCell ref="A20:B20"/>
    <mergeCell ref="A13:B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12" customWidth="1" min="1" max="1"/>
    <col width="16" customWidth="1" min="2" max="2"/>
    <col width="14" customWidth="1" min="3" max="3"/>
    <col width="14" customWidth="1" min="4" max="4"/>
    <col width="16" customWidth="1" min="5" max="5"/>
    <col width="16" customWidth="1" min="6" max="6"/>
    <col width="16" customWidth="1" min="7" max="7"/>
    <col width="16" customWidth="1" min="8" max="8"/>
    <col width="16" customWidth="1" min="9" max="9"/>
    <col width="12" customWidth="1" min="10" max="10"/>
  </cols>
  <sheetData>
    <row r="1" ht="36" customHeight="1">
      <c r="A1" s="1" t="inlineStr">
        <is>
          <t xml:space="preserve"> 04. Linux負荷テスト実行サーバの構築・JMX配置ガイド</t>
        </is>
      </c>
    </row>
    <row r="2" ht="22" customHeight="1">
      <c r="A2" s="2" t="inlineStr">
        <is>
          <t xml:space="preserve">  ■ ディレクトリ設計・Java/JMeter配備・OSチューニング・Windowsからの転送手順</t>
        </is>
      </c>
    </row>
    <row r="4" ht="26" customHeight="1">
      <c r="A4" s="8" t="inlineStr">
        <is>
          <t xml:space="preserve"> ▶ 1. Linux実行サーバの推奨ディレクトリ構造と初期セットアップ</t>
        </is>
      </c>
    </row>
    <row r="5" ht="24" customHeight="1">
      <c r="A5" s="10" t="inlineStr">
        <is>
          <t>ディレクトリパス</t>
        </is>
      </c>
      <c r="B5" s="11" t="n"/>
      <c r="C5" s="11" t="n"/>
      <c r="D5" s="11" t="n"/>
      <c r="E5" s="10" t="inlineStr">
        <is>
          <t>用途・格納対象ファイル</t>
        </is>
      </c>
      <c r="F5" s="11" t="n"/>
      <c r="G5" s="11" t="n"/>
      <c r="H5" s="11" t="n"/>
      <c r="I5" s="10" t="inlineStr">
        <is>
          <t>作成コマンド例</t>
        </is>
      </c>
      <c r="J5" s="11" t="n"/>
    </row>
    <row r="6" ht="24" customHeight="1">
      <c r="A6" s="36" t="inlineStr">
        <is>
          <t>/opt/jmeter/apache-jmeter-5.6.3</t>
        </is>
      </c>
      <c r="B6" s="7" t="n"/>
      <c r="C6" s="7" t="n"/>
      <c r="D6" s="7" t="n"/>
      <c r="E6" s="6" t="inlineStr">
        <is>
          <t>JMeter本体プログラムの配置ディレクトリ (バイナリ、ライブラリ、binスクリプト群)</t>
        </is>
      </c>
      <c r="F6" s="7" t="n"/>
      <c r="G6" s="7" t="n"/>
      <c r="H6" s="7" t="n"/>
      <c r="I6" s="36" t="inlineStr">
        <is>
          <t>sudo mkdir -p /opt/jmeter/apache-jmeter-5.6.3</t>
        </is>
      </c>
      <c r="J6" s="7" t="n"/>
    </row>
    <row r="7" ht="24" customHeight="1">
      <c r="A7" s="37" t="inlineStr">
        <is>
          <t>/data/jmeter/scenarios</t>
        </is>
      </c>
      <c r="B7" s="17" t="n"/>
      <c r="C7" s="17" t="n"/>
      <c r="D7" s="17" t="n"/>
      <c r="E7" s="18" t="inlineStr">
        <is>
          <t>Windows端末から転送されたJMXシナリオファイルの格納ディレクトリ</t>
        </is>
      </c>
      <c r="F7" s="17" t="n"/>
      <c r="G7" s="17" t="n"/>
      <c r="H7" s="17" t="n"/>
      <c r="I7" s="37" t="inlineStr">
        <is>
          <t>sudo mkdir -p /data/jmeter/scenarios</t>
        </is>
      </c>
      <c r="J7" s="17" t="n"/>
    </row>
    <row r="8" ht="24" customHeight="1">
      <c r="A8" s="36" t="inlineStr">
        <is>
          <t>/data/jmeter/csv</t>
        </is>
      </c>
      <c r="B8" s="7" t="n"/>
      <c r="C8" s="7" t="n"/>
      <c r="D8" s="7" t="n"/>
      <c r="E8" s="6" t="inlineStr">
        <is>
          <t>シナリオで使用するパラメータCSVデータファイル (users.csv等) の格納ディレクトリ</t>
        </is>
      </c>
      <c r="F8" s="7" t="n"/>
      <c r="G8" s="7" t="n"/>
      <c r="H8" s="7" t="n"/>
      <c r="I8" s="36" t="inlineStr">
        <is>
          <t>sudo mkdir -p /data/jmeter/csv</t>
        </is>
      </c>
      <c r="J8" s="7" t="n"/>
    </row>
    <row r="9" ht="24" customHeight="1">
      <c r="A9" s="37" t="inlineStr">
        <is>
          <t>/data/jmeter/results</t>
        </is>
      </c>
      <c r="B9" s="17" t="n"/>
      <c r="C9" s="17" t="n"/>
      <c r="D9" s="17" t="n"/>
      <c r="E9" s="18" t="inlineStr">
        <is>
          <t>テスト実行によって出力されるJTLサンプリング結果ファイル (.jtl) およびHTMLダッシュボード</t>
        </is>
      </c>
      <c r="F9" s="17" t="n"/>
      <c r="G9" s="17" t="n"/>
      <c r="H9" s="17" t="n"/>
      <c r="I9" s="37" t="inlineStr">
        <is>
          <t>sudo mkdir -p /data/jmeter/results</t>
        </is>
      </c>
      <c r="J9" s="17" t="n"/>
    </row>
    <row r="10" ht="24" customHeight="1">
      <c r="A10" s="36" t="inlineStr">
        <is>
          <t>/data/jmeter/logs</t>
        </is>
      </c>
      <c r="B10" s="7" t="n"/>
      <c r="C10" s="7" t="n"/>
      <c r="D10" s="7" t="n"/>
      <c r="E10" s="6" t="inlineStr">
        <is>
          <t>JMeter実行ログ (jmeter.log) およびCLI実行スクリプトの標準出力/標準エラーログ</t>
        </is>
      </c>
      <c r="F10" s="7" t="n"/>
      <c r="G10" s="7" t="n"/>
      <c r="H10" s="7" t="n"/>
      <c r="I10" s="36" t="inlineStr">
        <is>
          <t>sudo mkdir -p /data/jmeter/logs</t>
        </is>
      </c>
      <c r="J10" s="7" t="n"/>
    </row>
    <row r="11" ht="24" customHeight="1">
      <c r="A11" s="37" t="inlineStr">
        <is>
          <t>/data/jmeter/scripts</t>
        </is>
      </c>
      <c r="B11" s="17" t="n"/>
      <c r="C11" s="17" t="n"/>
      <c r="D11" s="17" t="n"/>
      <c r="E11" s="18" t="inlineStr">
        <is>
          <t>テスト実行シェルスクリプト (run_load_test.sh, stop.sh等) の格納ディレクトリ</t>
        </is>
      </c>
      <c r="F11" s="17" t="n"/>
      <c r="G11" s="17" t="n"/>
      <c r="H11" s="17" t="n"/>
      <c r="I11" s="37" t="inlineStr">
        <is>
          <t>sudo mkdir -p /data/jmeter/scripts</t>
        </is>
      </c>
      <c r="J11" s="17" t="n"/>
    </row>
    <row r="13" ht="26" customHeight="1">
      <c r="A13" s="8" t="inlineStr">
        <is>
          <t xml:space="preserve"> ▶ 2. Linux実行サーバの構築コマンド（JDK/JMeter/OSパラメータ）</t>
        </is>
      </c>
    </row>
    <row r="14" ht="54" customHeight="1">
      <c r="A14" s="9" t="inlineStr">
        <is>
          <t>1</t>
        </is>
      </c>
      <c r="B14" s="4" t="inlineStr">
        <is>
          <t>OpenJDK 17 のインストール</t>
        </is>
      </c>
      <c r="C14" s="32" t="inlineStr">
        <is>
          <t># RHEL / Rocky Linux の場合:
sudo dnf install -y java-17-openjdk java-17-openjdk-devel
# Ubuntu / Debian の場合:
sudo apt update &amp;&amp; sudo apt install -y openjdk-17-jdk
# バージョン確認:
java -version</t>
        </is>
      </c>
      <c r="D14" s="33" t="n"/>
      <c r="E14" s="33" t="n"/>
      <c r="F14" s="33" t="n"/>
      <c r="G14" s="33" t="n"/>
      <c r="H14" s="6" t="inlineStr">
        <is>
          <t>Java 17 OpenJDK Runtime Environment が表示されること</t>
        </is>
      </c>
      <c r="I14" s="7" t="n"/>
      <c r="J14" s="7" t="n"/>
    </row>
    <row r="15" ht="54" customHeight="1">
      <c r="A15" s="9" t="inlineStr">
        <is>
          <t>2</t>
        </is>
      </c>
      <c r="B15" s="4" t="inlineStr">
        <is>
          <t>JMeter のダウンロードと解凍・配置</t>
        </is>
      </c>
      <c r="C15" s="32" t="inlineStr">
        <is>
          <t>cd /tmp
wget https://archive.apache.org/dist/jmeter/binaries/apache-jmeter-5.6.3.tgz
sudo mkdir -p /opt/jmeter
sudo tar -zxvf apache-jmeter-5.6.3.tgz -C /opt/jmeter/
sudo chown -R $USER:$USER /opt/jmeter
sudo chmod +x /opt/jmeter/apache-jmeter-5.6.3/bin/*</t>
        </is>
      </c>
      <c r="D15" s="33" t="n"/>
      <c r="E15" s="33" t="n"/>
      <c r="F15" s="33" t="n"/>
      <c r="G15" s="33" t="n"/>
      <c r="H15" s="6" t="inlineStr">
        <is>
          <t>jmeter実行スクリプトに実行権限が付与されていること</t>
        </is>
      </c>
      <c r="I15" s="7" t="n"/>
      <c r="J15" s="7" t="n"/>
    </row>
    <row r="16" ht="54" customHeight="1">
      <c r="A16" s="9" t="inlineStr">
        <is>
          <t>3</t>
        </is>
      </c>
      <c r="B16" s="4" t="inlineStr">
        <is>
          <t>setenv.sh の作成（JVMヒープとGCの最適化）</t>
        </is>
      </c>
      <c r="C16" s="32" t="inlineStr">
        <is>
          <t>cat &lt;&lt; 'EOF' &gt; /opt/jmeter/apache-jmeter-5.6.3/bin/setenv.sh
#!/bin/bash
# サーバ実メモリ8GB想定: ヒープに4GB、G1GCを指定
export JVM_ARGS="-Xms4g -Xmx4g -XX:MaxMetaspaceSize=512m -XX:+UseG1GC -XX:MaxGCPauseMillis=100 -XX:G1ReservePercent=15"
EOF
chmod +x /opt/jmeter/apache-jmeter-5.6.3/bin/setenv.sh</t>
        </is>
      </c>
      <c r="D16" s="33" t="n"/>
      <c r="E16" s="33" t="n"/>
      <c r="F16" s="33" t="n"/>
      <c r="G16" s="33" t="n"/>
      <c r="H16" s="6" t="inlineStr">
        <is>
          <t>高負荷時もGC停止時間を最小化し、OOMを防止</t>
        </is>
      </c>
      <c r="I16" s="7" t="n"/>
      <c r="J16" s="7" t="n"/>
    </row>
    <row r="17" ht="54" customHeight="1">
      <c r="A17" s="9" t="inlineStr">
        <is>
          <t>4</t>
        </is>
      </c>
      <c r="B17" s="4" t="inlineStr">
        <is>
          <t>環境変数 (PATH / JMETER_HOME) の登録</t>
        </is>
      </c>
      <c r="C17" s="32" t="inlineStr">
        <is>
          <t>cat &lt;&lt; 'EOF' &gt;&gt; ~/.bashrc
export JMETER_HOME=/opt/jmeter/apache-jmeter-5.6.3
export PATH=$PATH:$JMETER_HOME/bin
EOF
source ~/.bashrc
jmeter -v</t>
        </is>
      </c>
      <c r="D17" s="33" t="n"/>
      <c r="E17" s="33" t="n"/>
      <c r="F17" s="33" t="n"/>
      <c r="G17" s="33" t="n"/>
      <c r="H17" s="6" t="inlineStr">
        <is>
          <t>任意のディレクトリから jmeter -v でロゴが表示されること</t>
        </is>
      </c>
      <c r="I17" s="7" t="n"/>
      <c r="J17" s="7" t="n"/>
    </row>
    <row r="18" ht="54" customHeight="1">
      <c r="A18" s="9" t="inlineStr">
        <is>
          <t>5</t>
        </is>
      </c>
      <c r="B18" s="4" t="inlineStr">
        <is>
          <t>OSカーネル・ファイルディスクリプタのチューニング</t>
        </is>
      </c>
      <c r="C18" s="32" t="inlineStr">
        <is>
          <t># ファイルオープン数上限 (ulimit) の拡張:
echo "* soft nofile 65535" | sudo tee -a /etc/security/limits.conf
echo "* hard nofile 65535" | sudo tee -a /etc/security/limits.conf
# エフェメラルポート拡張とTIME_WAITソケットの再利用:
cat &lt;&lt; 'EOF' | sudo tee -a /etc/sysctl.conf
net.ipv4.ip_local_port_range = 1024 65535
net.ipv4.tcp_tw_reuse = 1
EOF
sudo sysctl -p</t>
        </is>
      </c>
      <c r="D18" s="33" t="n"/>
      <c r="E18" s="33" t="n"/>
      <c r="F18" s="33" t="n"/>
      <c r="G18" s="33" t="n"/>
      <c r="H18" s="6" t="inlineStr">
        <is>
          <t>ulimit -n で 65535 が表示され、ソケット枯渇を防止できる状態</t>
        </is>
      </c>
      <c r="I18" s="7" t="n"/>
      <c r="J18" s="7" t="n"/>
    </row>
    <row r="20" ht="26" customHeight="1">
      <c r="A20" s="8" t="inlineStr">
        <is>
          <t xml:space="preserve"> ▶ 3. Windows端末からLinux実行サーバへのファイル転送手順 (SCP / WinSCP)</t>
        </is>
      </c>
    </row>
    <row r="21" ht="54" customHeight="1">
      <c r="A21" s="4" t="inlineStr">
        <is>
          <t>PowerShell (SCPコマンド)</t>
        </is>
      </c>
      <c r="B21" s="9" t="inlineStr">
        <is>
          <t>CLI自動化</t>
        </is>
      </c>
      <c r="C21" s="32" t="inlineStr">
        <is>
          <t># 1. シナリオファイル (.jmx) の転送:
scp -P 22 .\scenarios\sample_cognito_apigw.jmx user@linux-host:/data/jmeter/scenarios/
# 2. パラメータCSVデータの転送:
scp -P 22 .\data\sample_users.csv user@linux-host:/data/jmeter/csv/
# 3. 実行スクリプトの転送:
scp -P 22 .\scripts\run_load_test.sh user@linux-host:/data/jmeter/scripts/
※SSHキー認証の場合は「-i C:\path\to\id_rsa」を付与します。</t>
        </is>
      </c>
      <c r="D21" s="33" t="n"/>
      <c r="E21" s="33" t="n"/>
      <c r="F21" s="33" t="n"/>
      <c r="G21" s="33" t="n"/>
      <c r="H21" s="6" t="inlineStr">
        <is>
          <t>CI/CDや定期実行の自動化に適している。コマンド一発で転送完了。</t>
        </is>
      </c>
      <c r="I21" s="7" t="n"/>
      <c r="J21" s="7" t="n"/>
    </row>
    <row r="22" ht="54" customHeight="1">
      <c r="A22" s="4" t="inlineStr">
        <is>
          <t>WinSCP (GUIツール)</t>
        </is>
      </c>
      <c r="B22" s="9" t="inlineStr">
        <is>
          <t>GUI手動操作</t>
        </is>
      </c>
      <c r="C22" s="32" t="inlineStr">
        <is>
          <t>1. WinSCPを起動し、ホスト名、ポート、ユーザー名、秘密鍵を設定して接続。
2. 左側ペイン (Windowsローカル) で作成した .jmx および .csv を選択。
3. 右側ペイン (Linuxリモート) で「/data/jmeter/scenarios/」または「/data/jmeter/csv/」を開く。
4. ドラッグ＆ドロップでファイルを転送。
※注意: 改行コードが混在する場合は、転送モードを「バイナリ」にして転送すること。</t>
        </is>
      </c>
      <c r="D22" s="33" t="n"/>
      <c r="E22" s="33" t="n"/>
      <c r="F22" s="33" t="n"/>
      <c r="G22" s="33" t="n"/>
      <c r="H22" s="6" t="inlineStr">
        <is>
          <t>初心者が視覚的にファイル配置を確認しながら安全に作業するのに最適。</t>
        </is>
      </c>
      <c r="I22" s="7" t="n"/>
      <c r="J22" s="7" t="n"/>
    </row>
    <row r="24" ht="26" customHeight="1">
      <c r="A24" s="8" t="inlineStr">
        <is>
          <t xml:space="preserve"> ▶ 4. サーバ基盤構築・ファイル配置証跡貼付エリア</t>
        </is>
      </c>
    </row>
    <row r="25">
      <c r="A25" s="20" t="inlineStr">
        <is>
          <t>【画像・スクリーンショット貼付エリア】
● 対象: Windows から Linux への SCP / WinSCP 転送実行画面
● 内容: PowerShellでのSCP転送完了ログ、またはWinSCPでJMX/CSVファイルが配置された画面キャプチャ
● 推奨サイズ: 幅800px × 高さ450px (16:9)
※ 貼付方法: Excel上部「挿入」リボン →「図」→「画像」→「このデバイス...」で画像を挿入し、この枠内にサイズ調整して配置してください。</t>
        </is>
      </c>
      <c r="B25" s="21" t="n"/>
      <c r="C25" s="21" t="n"/>
      <c r="D25" s="21" t="n"/>
      <c r="E25" s="22" t="n"/>
      <c r="F25" s="20" t="inlineStr">
        <is>
          <t>【画像・スクリーンショット貼付エリア】
● 対象: Linux サーバ上での資材配置確認 (ls -la) &amp; ulimit 実行結果
● 内容: /data/jmeter 配下のディレクトリ構成確認 (ls -la) および ulimit -n の 65535 表示確認証跡
● 推奨サイズ: 幅800px × 高さ450px (16:9)
※ 貼付方法: Excel上部「挿入」リボン →「図」→「画像」→「このデバイス...」で画像を挿入し、この枠内にサイズ調整して配置してください。</t>
        </is>
      </c>
      <c r="G25" s="21" t="n"/>
      <c r="H25" s="21" t="n"/>
      <c r="I25" s="21" t="n"/>
      <c r="J25" s="22" t="n"/>
    </row>
    <row r="26">
      <c r="A26" s="23" t="n"/>
      <c r="E26" s="24" t="n"/>
      <c r="F26" s="23" t="n"/>
      <c r="J26" s="24" t="n"/>
    </row>
    <row r="27">
      <c r="A27" s="23" t="n"/>
      <c r="E27" s="24" t="n"/>
      <c r="F27" s="23" t="n"/>
      <c r="J27" s="24" t="n"/>
    </row>
    <row r="28">
      <c r="A28" s="23" t="n"/>
      <c r="E28" s="24" t="n"/>
      <c r="F28" s="23" t="n"/>
      <c r="J28" s="24" t="n"/>
    </row>
    <row r="29">
      <c r="A29" s="23" t="n"/>
      <c r="E29" s="24" t="n"/>
      <c r="F29" s="23" t="n"/>
      <c r="J29" s="24" t="n"/>
    </row>
    <row r="30">
      <c r="A30" s="23" t="n"/>
      <c r="E30" s="24" t="n"/>
      <c r="F30" s="23" t="n"/>
      <c r="J30" s="24" t="n"/>
    </row>
    <row r="31">
      <c r="A31" s="23" t="n"/>
      <c r="E31" s="24" t="n"/>
      <c r="F31" s="23" t="n"/>
      <c r="J31" s="24" t="n"/>
    </row>
    <row r="32">
      <c r="A32" s="23" t="n"/>
      <c r="E32" s="24" t="n"/>
      <c r="F32" s="23" t="n"/>
      <c r="J32" s="24" t="n"/>
    </row>
    <row r="33">
      <c r="A33" s="25" t="n"/>
      <c r="B33" s="26" t="n"/>
      <c r="C33" s="26" t="n"/>
      <c r="D33" s="26" t="n"/>
      <c r="E33" s="27" t="n"/>
      <c r="F33" s="25" t="n"/>
      <c r="G33" s="26" t="n"/>
      <c r="H33" s="26" t="n"/>
      <c r="I33" s="26" t="n"/>
      <c r="J33" s="27" t="n"/>
    </row>
  </sheetData>
  <mergeCells count="43">
    <mergeCell ref="A5:D5"/>
    <mergeCell ref="A8:D8"/>
    <mergeCell ref="I6:J6"/>
    <mergeCell ref="C15:G15"/>
    <mergeCell ref="I11:J11"/>
    <mergeCell ref="A4:J4"/>
    <mergeCell ref="E7:H7"/>
    <mergeCell ref="A20:J20"/>
    <mergeCell ref="C14:G14"/>
    <mergeCell ref="H17:J17"/>
    <mergeCell ref="A10:D10"/>
    <mergeCell ref="A13:J13"/>
    <mergeCell ref="H16:J16"/>
    <mergeCell ref="A9:D9"/>
    <mergeCell ref="H22:J22"/>
    <mergeCell ref="I7:J7"/>
    <mergeCell ref="C16:G16"/>
    <mergeCell ref="A24:J24"/>
    <mergeCell ref="A11:D11"/>
    <mergeCell ref="C22:G22"/>
    <mergeCell ref="E5:H5"/>
    <mergeCell ref="H15:J15"/>
    <mergeCell ref="A1:J1"/>
    <mergeCell ref="C21:G21"/>
    <mergeCell ref="A6:D6"/>
    <mergeCell ref="E8:H8"/>
    <mergeCell ref="H14:J14"/>
    <mergeCell ref="H18:J18"/>
    <mergeCell ref="A7:D7"/>
    <mergeCell ref="I5:J5"/>
    <mergeCell ref="I8:J8"/>
    <mergeCell ref="E10:H10"/>
    <mergeCell ref="F25:J33"/>
    <mergeCell ref="C17:G17"/>
    <mergeCell ref="A25:E33"/>
    <mergeCell ref="E9:H9"/>
    <mergeCell ref="I10:J10"/>
    <mergeCell ref="E6:H6"/>
    <mergeCell ref="A2:J2"/>
    <mergeCell ref="E11:H11"/>
    <mergeCell ref="C18:G18"/>
    <mergeCell ref="I9:J9"/>
    <mergeCell ref="H21:J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6"/>
  <sheetViews>
    <sheetView showGridLines="1" workbookViewId="0">
      <selection activeCell="A1" sqref="A1"/>
    </sheetView>
  </sheetViews>
  <sheetFormatPr baseColWidth="8" defaultRowHeight="15"/>
  <cols>
    <col width="12" customWidth="1" min="1" max="1"/>
    <col width="14" customWidth="1" min="2" max="2"/>
    <col width="14" customWidth="1" min="3" max="3"/>
    <col width="14" customWidth="1" min="4" max="4"/>
    <col width="16" customWidth="1" min="5" max="5"/>
    <col width="16" customWidth="1" min="6" max="6"/>
    <col width="16" customWidth="1" min="7" max="7"/>
    <col width="16" customWidth="1" min="8" max="8"/>
    <col width="16" customWidth="1" min="9" max="9"/>
    <col width="12" customWidth="1" min="10" max="10"/>
  </cols>
  <sheetData>
    <row r="1" ht="36" customHeight="1">
      <c r="A1" s="1" t="inlineStr">
        <is>
          <t xml:space="preserve"> 05. Linux CLI (Non-GUI) 負荷テスト実行・リアルタイム監視ガイド</t>
        </is>
      </c>
    </row>
    <row r="2" ht="22" customHeight="1">
      <c r="A2" s="2" t="inlineStr">
        <is>
          <t xml:space="preserve">  ■ CLI構文完全解説・バックグラウンド実行・Summariser進捗監視・リソース監視・安全停止</t>
        </is>
      </c>
    </row>
    <row r="4" ht="26" customHeight="1">
      <c r="A4" s="8" t="inlineStr">
        <is>
          <t xml:space="preserve"> ▶ 1. JMeter Non-GUI (CLI) 実行コマンドの構文と全オプション解説</t>
        </is>
      </c>
    </row>
    <row r="5" ht="20" customHeight="1">
      <c r="A5" s="32" t="inlineStr">
        <is>
          <t>【基本実行コマンド構文】
jmeter -n -t /data/jmeter/scenarios/scenario.jmx \
       -l /data/jmeter/results/run_$(date +%Y%m%d_%H%M%S).jtl \
       -j /data/jmeter/logs/jmeter_$(date +%Y%m%d_%H%M%S).log \
       -e -o /data/jmeter/results/report_$(date +%Y%m%d_%H%M%S)/ \
       -Jthreads=50 -Jrampup=60 -Jduration=1200</t>
        </is>
      </c>
      <c r="B5" s="33" t="n"/>
      <c r="C5" s="33" t="n"/>
      <c r="D5" s="33" t="n"/>
      <c r="E5" s="33" t="n"/>
      <c r="F5" s="33" t="n"/>
      <c r="G5" s="33" t="n"/>
      <c r="H5" s="33" t="n"/>
      <c r="I5" s="33" t="n"/>
      <c r="J5" s="33" t="n"/>
    </row>
    <row r="6" ht="20" customHeight="1">
      <c r="A6" s="33" t="n"/>
      <c r="B6" s="33" t="n"/>
      <c r="C6" s="33" t="n"/>
      <c r="D6" s="33" t="n"/>
      <c r="E6" s="33" t="n"/>
      <c r="F6" s="33" t="n"/>
      <c r="G6" s="33" t="n"/>
      <c r="H6" s="33" t="n"/>
      <c r="I6" s="33" t="n"/>
      <c r="J6" s="33" t="n"/>
    </row>
    <row r="7" ht="24" customHeight="1">
      <c r="A7" s="33" t="n"/>
      <c r="B7" s="33" t="n"/>
      <c r="C7" s="33" t="n"/>
      <c r="D7" s="33" t="n"/>
      <c r="E7" s="33" t="n"/>
      <c r="F7" s="33" t="n"/>
      <c r="G7" s="33" t="n"/>
      <c r="H7" s="33" t="n"/>
      <c r="I7" s="33" t="n"/>
      <c r="J7" s="33" t="n"/>
    </row>
    <row r="9" ht="24" customHeight="1">
      <c r="A9" s="10" t="inlineStr">
        <is>
          <t>オプション</t>
        </is>
      </c>
      <c r="B9" s="11" t="n"/>
      <c r="C9" s="10" t="inlineStr">
        <is>
          <t>名称・役割</t>
        </is>
      </c>
      <c r="D9" s="11" t="n"/>
      <c r="E9" s="10" t="inlineStr">
        <is>
          <t>詳細機能・設定内容</t>
        </is>
      </c>
      <c r="F9" s="11" t="n"/>
      <c r="G9" s="11" t="n"/>
      <c r="H9" s="10" t="inlineStr">
        <is>
          <t>実務上の注意点・ベストプラクティス</t>
        </is>
      </c>
      <c r="I9" s="11" t="n"/>
      <c r="J9" s="11" t="n"/>
    </row>
    <row r="10" ht="32" customHeight="1">
      <c r="A10" s="30" t="inlineStr">
        <is>
          <t>-n</t>
        </is>
      </c>
      <c r="B10" s="7" t="n"/>
      <c r="C10" s="13" t="inlineStr">
        <is>
          <t>Non-GUI モード指定</t>
        </is>
      </c>
      <c r="D10" s="7" t="n"/>
      <c r="E10" s="6" t="inlineStr">
        <is>
          <t>GUI (画面) を起動せず、コンソールのみで軽量実行する必須フラグ。画面描画オーバーヘッドをゼロにします。</t>
        </is>
      </c>
      <c r="F10" s="7" t="n"/>
      <c r="G10" s="7" t="n"/>
      <c r="H10" s="6" t="inlineStr">
        <is>
          <t>本番負荷テストでは必ず指定。未指定だとGUI起動を試みてエラーになる。</t>
        </is>
      </c>
      <c r="I10" s="7" t="n"/>
      <c r="J10" s="7" t="n"/>
    </row>
    <row r="11" ht="32" customHeight="1">
      <c r="A11" s="31" t="inlineStr">
        <is>
          <t>-t &lt;jmx_path&gt;</t>
        </is>
      </c>
      <c r="B11" s="17" t="n"/>
      <c r="C11" s="16" t="inlineStr">
        <is>
          <t>テスト計画ファイル指定</t>
        </is>
      </c>
      <c r="D11" s="17" t="n"/>
      <c r="E11" s="18" t="inlineStr">
        <is>
          <t>実行するシナリオファイル (.jmx) のパスを指定します。相対パスまたは絶対パスが有効。</t>
        </is>
      </c>
      <c r="F11" s="17" t="n"/>
      <c r="G11" s="17" t="n"/>
      <c r="H11" s="18" t="inlineStr">
        <is>
          <t>/data/jmeter/scenarios/sample_test_plan.jmx などを指定。</t>
        </is>
      </c>
      <c r="I11" s="17" t="n"/>
      <c r="J11" s="17" t="n"/>
    </row>
    <row r="12" ht="32" customHeight="1">
      <c r="A12" s="30" t="inlineStr">
        <is>
          <t>-l &lt;jtl_path&gt;</t>
        </is>
      </c>
      <c r="B12" s="7" t="n"/>
      <c r="C12" s="13" t="inlineStr">
        <is>
          <t>実行結果ログ出力先指定</t>
        </is>
      </c>
      <c r="D12" s="7" t="n"/>
      <c r="E12" s="6" t="inlineStr">
        <is>
          <t>テスト結果 (JTLサンプリングデータ) を出力するCSV形式ファイルのパス。分析レポートの元データ。</t>
        </is>
      </c>
      <c r="F12" s="7" t="n"/>
      <c r="G12" s="7" t="n"/>
      <c r="H12" s="6" t="inlineStr">
        <is>
          <t>/data/jmeter/results/run_20261004.jtl などを指定。既存ファイルがある場合は追記されるため日付毎に新規命名を推奨。</t>
        </is>
      </c>
      <c r="I12" s="7" t="n"/>
      <c r="J12" s="7" t="n"/>
    </row>
    <row r="13" ht="32" customHeight="1">
      <c r="A13" s="31" t="inlineStr">
        <is>
          <t>-j &lt;log_path&gt;</t>
        </is>
      </c>
      <c r="B13" s="17" t="n"/>
      <c r="C13" s="16" t="inlineStr">
        <is>
          <t>JMeterシステムログ指定</t>
        </is>
      </c>
      <c r="D13" s="17" t="n"/>
      <c r="E13" s="18" t="inlineStr">
        <is>
          <t>JMeter内部の動作ログ、エラーログ、例外スタックトレースを出力するファイルのパス。</t>
        </is>
      </c>
      <c r="F13" s="17" t="n"/>
      <c r="G13" s="17" t="n"/>
      <c r="H13" s="18" t="inlineStr">
        <is>
          <t>/data/jmeter/logs/jmeter.log などを指定。サンプラーのHTTPエラーではなくJMeter自体の異常を検知する。</t>
        </is>
      </c>
      <c r="I13" s="17" t="n"/>
      <c r="J13" s="17" t="n"/>
    </row>
    <row r="14" ht="32" customHeight="1">
      <c r="A14" s="30" t="inlineStr">
        <is>
          <t>-e</t>
        </is>
      </c>
      <c r="B14" s="7" t="n"/>
      <c r="C14" s="13" t="inlineStr">
        <is>
          <t>HTMLレポート生成トリガー</t>
        </is>
      </c>
      <c r="D14" s="7" t="n"/>
      <c r="E14" s="6" t="inlineStr">
        <is>
          <t>テスト完了時に、自動的にグラフィカルなHTMLダッシュボードレポートを生成するフラグ。</t>
        </is>
      </c>
      <c r="F14" s="7" t="n"/>
      <c r="G14" s="7" t="n"/>
      <c r="H14" s="6" t="inlineStr">
        <is>
          <t>-o オプションとセットで必ず使用する。</t>
        </is>
      </c>
      <c r="I14" s="7" t="n"/>
      <c r="J14" s="7" t="n"/>
    </row>
    <row r="15" ht="32" customHeight="1">
      <c r="A15" s="31" t="inlineStr">
        <is>
          <t>-o &lt;dir_path&gt;</t>
        </is>
      </c>
      <c r="B15" s="17" t="n"/>
      <c r="C15" s="16" t="inlineStr">
        <is>
          <t>HTMLレポート出力先フォルダ</t>
        </is>
      </c>
      <c r="D15" s="17" t="n"/>
      <c r="E15" s="18" t="inlineStr">
        <is>
          <t>生成されたHTMLダッシュボードを出力するディレクトリパス。</t>
        </is>
      </c>
      <c r="F15" s="17" t="n"/>
      <c r="G15" s="17" t="n"/>
      <c r="H15" s="18" t="inlineStr">
        <is>
          <t>※重要: 出力先ディレクトリは【空】であるか、存在しないパスである必要があります。既存ファイルがあるとエラー停止します。</t>
        </is>
      </c>
      <c r="I15" s="17" t="n"/>
      <c r="J15" s="17" t="n"/>
    </row>
    <row r="16" ht="32" customHeight="1">
      <c r="A16" s="30" t="inlineStr">
        <is>
          <t>-J&lt;prop&gt;=&lt;val&gt;</t>
        </is>
      </c>
      <c r="B16" s="7" t="n"/>
      <c r="C16" s="13" t="inlineStr">
        <is>
          <t>JMeterローカルプロパティ上書き</t>
        </is>
      </c>
      <c r="D16" s="7" t="n"/>
      <c r="E16" s="6" t="inlineStr">
        <is>
          <t>シナリオ内のプロパティ (${__P(threads, 10)}) をCLI実行時に動的注入する。</t>
        </is>
      </c>
      <c r="F16" s="7" t="n"/>
      <c r="G16" s="7" t="n"/>
      <c r="H16" s="6" t="inlineStr">
        <is>
          <t>例: -Jthreads=100 -Jrampup=30。JMXファイルを書き換えることなく負荷強度を柔軟に変更可能。</t>
        </is>
      </c>
      <c r="I16" s="7" t="n"/>
      <c r="J16" s="7" t="n"/>
    </row>
    <row r="17" ht="32" customHeight="1">
      <c r="A17" s="31" t="inlineStr">
        <is>
          <t>-D&lt;prop&gt;=&lt;val&gt;</t>
        </is>
      </c>
      <c r="B17" s="17" t="n"/>
      <c r="C17" s="16" t="inlineStr">
        <is>
          <t>Javaシステムプロパティ定義</t>
        </is>
      </c>
      <c r="D17" s="17" t="n"/>
      <c r="E17" s="18" t="inlineStr">
        <is>
          <t>JVM全体のシステムプロパティを設定する (例: SSL証明書の検証無効化など)。</t>
        </is>
      </c>
      <c r="F17" s="17" t="n"/>
      <c r="G17" s="17" t="n"/>
      <c r="H17" s="18" t="inlineStr">
        <is>
          <t>-Djsse.enableSNIExtension=true などのインフラ固有設定に利用。</t>
        </is>
      </c>
      <c r="I17" s="17" t="n"/>
      <c r="J17" s="17" t="n"/>
    </row>
    <row r="19" ht="26" customHeight="1">
      <c r="A19" s="8" t="inlineStr">
        <is>
          <t xml:space="preserve"> ▶ 2. コンソール実行状況の監視手法と進捗ログ (Summariser) の読解</t>
        </is>
      </c>
    </row>
    <row r="20" ht="20" customHeight="1">
      <c r="A20" s="32" t="inlineStr">
        <is>
          <t>【Summariser 出力ログの例】
summary +   500 in 00:00:10 =   50.0/s Avg:   180 Min:    45 Max:  1250 Err:     0 (0.00%) Active: 50 Started: 50 Finished: 0
summary =  1500 in 00:00:30 =   50.0/s Avg:   192 Min:    40 Max:  2100 Err:     2 (0.13%)</t>
        </is>
      </c>
      <c r="B20" s="33" t="n"/>
      <c r="C20" s="33" t="n"/>
      <c r="D20" s="33" t="n"/>
      <c r="E20" s="33" t="n"/>
      <c r="F20" s="33" t="n"/>
      <c r="G20" s="33" t="n"/>
      <c r="H20" s="33" t="n"/>
      <c r="I20" s="33" t="n"/>
      <c r="J20" s="33" t="n"/>
    </row>
    <row r="21" ht="24" customHeight="1">
      <c r="A21" s="33" t="n"/>
      <c r="B21" s="33" t="n"/>
      <c r="C21" s="33" t="n"/>
      <c r="D21" s="33" t="n"/>
      <c r="E21" s="33" t="n"/>
      <c r="F21" s="33" t="n"/>
      <c r="G21" s="33" t="n"/>
      <c r="H21" s="33" t="n"/>
      <c r="I21" s="33" t="n"/>
      <c r="J21" s="33" t="n"/>
    </row>
    <row r="23" ht="22" customHeight="1">
      <c r="A23" s="38" t="inlineStr">
        <is>
          <t>summary +</t>
        </is>
      </c>
      <c r="B23" s="5" t="n"/>
      <c r="C23" s="4" t="inlineStr">
        <is>
          <t>直近インターバルの増分</t>
        </is>
      </c>
      <c r="D23" s="5" t="n"/>
      <c r="E23" s="6" t="inlineStr">
        <is>
          <t>直前の30秒間（インターバル期間）のみの統計値。現在の瞬間的な負荷状況を表す。</t>
        </is>
      </c>
      <c r="F23" s="7" t="n"/>
      <c r="G23" s="7" t="n"/>
      <c r="H23" s="7" t="n"/>
      <c r="I23" s="7" t="n"/>
      <c r="J23" s="7" t="n"/>
    </row>
    <row r="24" ht="22" customHeight="1">
      <c r="A24" s="38" t="inlineStr">
        <is>
          <t>summary =</t>
        </is>
      </c>
      <c r="B24" s="5" t="n"/>
      <c r="C24" s="4" t="inlineStr">
        <is>
          <t>テスト開始からの累積値</t>
        </is>
      </c>
      <c r="D24" s="5" t="n"/>
      <c r="E24" s="6" t="inlineStr">
        <is>
          <t>テスト開始から現在までの全リクエストの通算集計値。総合的な平均性能を表す。</t>
        </is>
      </c>
      <c r="F24" s="7" t="n"/>
      <c r="G24" s="7" t="n"/>
      <c r="H24" s="7" t="n"/>
      <c r="I24" s="7" t="n"/>
      <c r="J24" s="7" t="n"/>
    </row>
    <row r="25" ht="22" customHeight="1">
      <c r="A25" s="38" t="inlineStr">
        <is>
          <t>500 in 00:00:10</t>
        </is>
      </c>
      <c r="B25" s="5" t="n"/>
      <c r="C25" s="4" t="inlineStr">
        <is>
          <t>処理リクエスト数と経過時間</t>
        </is>
      </c>
      <c r="D25" s="5" t="n"/>
      <c r="E25" s="6" t="inlineStr">
        <is>
          <t>過去10秒間に500件のリクエストを処理完了したことを示す。</t>
        </is>
      </c>
      <c r="F25" s="7" t="n"/>
      <c r="G25" s="7" t="n"/>
      <c r="H25" s="7" t="n"/>
      <c r="I25" s="7" t="n"/>
      <c r="J25" s="7" t="n"/>
    </row>
    <row r="26" ht="22" customHeight="1">
      <c r="A26" s="38" t="inlineStr">
        <is>
          <t>50.0/s</t>
        </is>
      </c>
      <c r="B26" s="5" t="n"/>
      <c r="C26" s="4" t="inlineStr">
        <is>
          <t>スループット (Throughput / TPS)</t>
        </is>
      </c>
      <c r="D26" s="5" t="n"/>
      <c r="E26" s="6" t="inlineStr">
        <is>
          <t>1秒あたりに処理されたリクエスト数。想定通りのスループットが出ているか確認。</t>
        </is>
      </c>
      <c r="F26" s="7" t="n"/>
      <c r="G26" s="7" t="n"/>
      <c r="H26" s="7" t="n"/>
      <c r="I26" s="7" t="n"/>
      <c r="J26" s="7" t="n"/>
    </row>
    <row r="27" ht="22" customHeight="1">
      <c r="A27" s="38" t="inlineStr">
        <is>
          <t>Avg: 180</t>
        </is>
      </c>
      <c r="B27" s="5" t="n"/>
      <c r="C27" s="4" t="inlineStr">
        <is>
          <t>平均応答時間 (Average Response Time)</t>
        </is>
      </c>
      <c r="D27" s="5" t="n"/>
      <c r="E27" s="6" t="inlineStr">
        <is>
          <t>リクエスト送信からレスポンス受信完了までの平均時間 (ミリ秒)。</t>
        </is>
      </c>
      <c r="F27" s="7" t="n"/>
      <c r="G27" s="7" t="n"/>
      <c r="H27" s="7" t="n"/>
      <c r="I27" s="7" t="n"/>
      <c r="J27" s="7" t="n"/>
    </row>
    <row r="28" ht="22" customHeight="1">
      <c r="A28" s="38" t="inlineStr">
        <is>
          <t>Min: 45 / Max: 1250</t>
        </is>
      </c>
      <c r="B28" s="5" t="n"/>
      <c r="C28" s="4" t="inlineStr">
        <is>
          <t>最小・最大応答時間</t>
        </is>
      </c>
      <c r="D28" s="5" t="n"/>
      <c r="E28" s="6" t="inlineStr">
        <is>
          <t>対象インターバル中の最短レスポンスと最長レスポンス (ミリ秒)。Maxの突出に注意。</t>
        </is>
      </c>
      <c r="F28" s="7" t="n"/>
      <c r="G28" s="7" t="n"/>
      <c r="H28" s="7" t="n"/>
      <c r="I28" s="7" t="n"/>
      <c r="J28" s="7" t="n"/>
    </row>
    <row r="29" ht="22" customHeight="1">
      <c r="A29" s="38" t="inlineStr">
        <is>
          <t>Err: 0 (0.00%)</t>
        </is>
      </c>
      <c r="B29" s="5" t="n"/>
      <c r="C29" s="4" t="inlineStr">
        <is>
          <t>エラー件数とエラー率</t>
        </is>
      </c>
      <c r="D29" s="5" t="n"/>
      <c r="E29" s="6" t="inlineStr">
        <is>
          <t>HTTPエラーまたはアサーション失敗の件数と全体に対する割合。0%であるべき。</t>
        </is>
      </c>
      <c r="F29" s="7" t="n"/>
      <c r="G29" s="7" t="n"/>
      <c r="H29" s="7" t="n"/>
      <c r="I29" s="7" t="n"/>
      <c r="J29" s="7" t="n"/>
    </row>
    <row r="30" ht="22" customHeight="1">
      <c r="A30" s="38" t="inlineStr">
        <is>
          <t>Active: 50</t>
        </is>
      </c>
      <c r="B30" s="5" t="n"/>
      <c r="C30" s="4" t="inlineStr">
        <is>
          <t>アクティブスレッド数 (同時仮想ユーザー数)</t>
        </is>
      </c>
      <c r="D30" s="5" t="n"/>
      <c r="E30" s="6" t="inlineStr">
        <is>
          <t>現在並行してリクエスト処理・待機を行っている仮想ユーザー数。目標値に達しているか確認。</t>
        </is>
      </c>
      <c r="F30" s="7" t="n"/>
      <c r="G30" s="7" t="n"/>
      <c r="H30" s="7" t="n"/>
      <c r="I30" s="7" t="n"/>
      <c r="J30" s="7" t="n"/>
    </row>
    <row r="32" ht="26" customHeight="1">
      <c r="A32" s="8" t="inlineStr">
        <is>
          <t xml:space="preserve"> ▶ 3. 安全停止（Graceful Shutdown）と強制終了手順</t>
        </is>
      </c>
    </row>
    <row r="33" ht="36" customHeight="1">
      <c r="A33" s="4" t="inlineStr">
        <is>
          <t>安全停止 (Graceful Shutdown) 【推奨】</t>
        </is>
      </c>
      <c r="B33" s="5" t="n"/>
      <c r="C33" s="5" t="n"/>
      <c r="D33" s="32" t="inlineStr">
        <is>
          <t># JMeterインストールディレクトリ配下のスクリプトを実行:
/opt/jmeter/apache-jmeter-5.6.3/bin/shutdown.sh
または実行サーバの4445ポートにシャットダウンシグナル送信</t>
        </is>
      </c>
      <c r="E33" s="33" t="n"/>
      <c r="F33" s="33" t="n"/>
      <c r="G33" s="6" t="inlineStr">
        <is>
          <t>現在実行中のリクエストの完了を待ち、JTLログをフラッシュして安全にプロセスを終了します。データ破損が起きません。</t>
        </is>
      </c>
      <c r="H33" s="7" t="n"/>
      <c r="I33" s="7" t="n"/>
      <c r="J33" s="7" t="n"/>
    </row>
    <row r="34" ht="36" customHeight="1">
      <c r="A34" s="4" t="inlineStr">
        <is>
          <t>即時停止 (Immediate Stop)</t>
        </is>
      </c>
      <c r="B34" s="5" t="n"/>
      <c r="C34" s="5" t="n"/>
      <c r="D34" s="32" t="inlineStr">
        <is>
          <t>/opt/jmeter/apache-jmeter-5.6.3/bin/stoptest.sh</t>
        </is>
      </c>
      <c r="E34" s="33" t="n"/>
      <c r="F34" s="33" t="n"/>
      <c r="G34" s="6" t="inlineStr">
        <is>
          <t>実行中のリクエストを即座にソケット切断して終了します。通信エラーが記録される可能性があります。</t>
        </is>
      </c>
      <c r="H34" s="7" t="n"/>
      <c r="I34" s="7" t="n"/>
      <c r="J34" s="7" t="n"/>
    </row>
    <row r="35" ht="36" customHeight="1">
      <c r="A35" s="4" t="inlineStr">
        <is>
          <t>強制キル (Kill Process) 【非常時のみ】</t>
        </is>
      </c>
      <c r="B35" s="5" t="n"/>
      <c r="C35" s="5" t="n"/>
      <c r="D35" s="32" t="inlineStr">
        <is>
          <t>kill -9 $(pgrep -f ApacheJMeter.jar)</t>
        </is>
      </c>
      <c r="E35" s="33" t="n"/>
      <c r="F35" s="33" t="n"/>
      <c r="G35" s="6" t="inlineStr">
        <is>
          <t>プロセスがハングアップし、shutdown.sh を受け付けない場合のみ使用。JTLファイルの末尾が破損する恐れがあります。</t>
        </is>
      </c>
      <c r="H35" s="7" t="n"/>
      <c r="I35" s="7" t="n"/>
      <c r="J35" s="7" t="n"/>
    </row>
    <row r="37" ht="26" customHeight="1">
      <c r="A37" s="8" t="inlineStr">
        <is>
          <t xml:space="preserve"> ▶ 4. CLI実行・コンソール監視証跡貼付エリア</t>
        </is>
      </c>
    </row>
    <row r="38">
      <c r="A38" s="20" t="inlineStr">
        <is>
          <t>【画像・スクリーンショット貼付エリア】
● 対象: JMeter Non-GUI (CLI) 実行進捗ログ (Summariser) 画面
● 内容: Linuxコンソール上で実行中の Summariser 出力ログ (Active threads, TPS, Avg, Err%) のリアルタイム表示キャプチャ
● 推奨サイズ: 幅800px × 高さ450px (16:9)
※ 貼付方法: Excel上部「挿入」リボン →「図」→「画像」→「このデバイス...」で画像を挿入し、この枠内にサイズ調整して配置してください。</t>
        </is>
      </c>
      <c r="B38" s="21" t="n"/>
      <c r="C38" s="21" t="n"/>
      <c r="D38" s="21" t="n"/>
      <c r="E38" s="22" t="n"/>
      <c r="F38" s="20" t="inlineStr">
        <is>
          <t>【画像・スクリーンショット貼付エリア】
● 対象: Linux サーバ OS リソース監視画面 (top / vmstat / dstat)
● 内容: テスト実行中における Linux 負荷生成サーバおよびターゲットサーバの CPU使用率、メモリ、ロードアベレージ監視キャプチャ
● 推奨サイズ: 幅800px × 高さ450px (16:9)
※ 貼付方法: Excel上部「挿入」リボン →「図」→「画像」→「このデバイス...」で画像を挿入し、この枠内にサイズ調整して配置してください。</t>
        </is>
      </c>
      <c r="G38" s="21" t="n"/>
      <c r="H38" s="21" t="n"/>
      <c r="I38" s="21" t="n"/>
      <c r="J38" s="22" t="n"/>
    </row>
    <row r="39">
      <c r="A39" s="23" t="n"/>
      <c r="E39" s="24" t="n"/>
      <c r="F39" s="23" t="n"/>
      <c r="J39" s="24" t="n"/>
    </row>
    <row r="40">
      <c r="A40" s="23" t="n"/>
      <c r="E40" s="24" t="n"/>
      <c r="F40" s="23" t="n"/>
      <c r="J40" s="24" t="n"/>
    </row>
    <row r="41">
      <c r="A41" s="23" t="n"/>
      <c r="E41" s="24" t="n"/>
      <c r="F41" s="23" t="n"/>
      <c r="J41" s="24" t="n"/>
    </row>
    <row r="42">
      <c r="A42" s="23" t="n"/>
      <c r="E42" s="24" t="n"/>
      <c r="F42" s="23" t="n"/>
      <c r="J42" s="24" t="n"/>
    </row>
    <row r="43">
      <c r="A43" s="23" t="n"/>
      <c r="E43" s="24" t="n"/>
      <c r="F43" s="23" t="n"/>
      <c r="J43" s="24" t="n"/>
    </row>
    <row r="44">
      <c r="A44" s="23" t="n"/>
      <c r="E44" s="24" t="n"/>
      <c r="F44" s="23" t="n"/>
      <c r="J44" s="24" t="n"/>
    </row>
    <row r="45">
      <c r="A45" s="23" t="n"/>
      <c r="E45" s="24" t="n"/>
      <c r="F45" s="23" t="n"/>
      <c r="J45" s="24" t="n"/>
    </row>
    <row r="46">
      <c r="A46" s="25" t="n"/>
      <c r="B46" s="26" t="n"/>
      <c r="C46" s="26" t="n"/>
      <c r="D46" s="26" t="n"/>
      <c r="E46" s="27" t="n"/>
      <c r="F46" s="25" t="n"/>
      <c r="G46" s="26" t="n"/>
      <c r="H46" s="26" t="n"/>
      <c r="I46" s="26" t="n"/>
      <c r="J46" s="27" t="n"/>
    </row>
  </sheetData>
  <mergeCells count="79">
    <mergeCell ref="E13:G13"/>
    <mergeCell ref="A15:B15"/>
    <mergeCell ref="E28:J28"/>
    <mergeCell ref="C15:D15"/>
    <mergeCell ref="H17:J17"/>
    <mergeCell ref="E15:G15"/>
    <mergeCell ref="H11:J11"/>
    <mergeCell ref="E30:J30"/>
    <mergeCell ref="A38:E46"/>
    <mergeCell ref="A27:B27"/>
    <mergeCell ref="E16:G16"/>
    <mergeCell ref="C27:D27"/>
    <mergeCell ref="A17:B17"/>
    <mergeCell ref="A20:J21"/>
    <mergeCell ref="A34:C34"/>
    <mergeCell ref="C17:D17"/>
    <mergeCell ref="E24:J24"/>
    <mergeCell ref="G34:J34"/>
    <mergeCell ref="A28:B28"/>
    <mergeCell ref="C28:D28"/>
    <mergeCell ref="A9:B9"/>
    <mergeCell ref="A30:B30"/>
    <mergeCell ref="A32:J32"/>
    <mergeCell ref="F38:J46"/>
    <mergeCell ref="C30:D30"/>
    <mergeCell ref="A11:B11"/>
    <mergeCell ref="C14:D14"/>
    <mergeCell ref="A4:J4"/>
    <mergeCell ref="A5:J7"/>
    <mergeCell ref="H16:J16"/>
    <mergeCell ref="A26:B26"/>
    <mergeCell ref="A10:B10"/>
    <mergeCell ref="E23:J23"/>
    <mergeCell ref="E17:G17"/>
    <mergeCell ref="G33:J33"/>
    <mergeCell ref="A2:J2"/>
    <mergeCell ref="E10:G10"/>
    <mergeCell ref="G35:J35"/>
    <mergeCell ref="E9:G9"/>
    <mergeCell ref="C29:D29"/>
    <mergeCell ref="E11:G11"/>
    <mergeCell ref="H13:J13"/>
    <mergeCell ref="E27:J27"/>
    <mergeCell ref="D33:F33"/>
    <mergeCell ref="A12:B12"/>
    <mergeCell ref="H15:J15"/>
    <mergeCell ref="E25:J25"/>
    <mergeCell ref="C12:D12"/>
    <mergeCell ref="D35:F35"/>
    <mergeCell ref="E12:G12"/>
    <mergeCell ref="A14:B14"/>
    <mergeCell ref="A23:B23"/>
    <mergeCell ref="C23:D23"/>
    <mergeCell ref="D34:F34"/>
    <mergeCell ref="H10:J10"/>
    <mergeCell ref="E14:G14"/>
    <mergeCell ref="H9:J9"/>
    <mergeCell ref="E29:J29"/>
    <mergeCell ref="A24:B24"/>
    <mergeCell ref="C24:D24"/>
    <mergeCell ref="C26:D26"/>
    <mergeCell ref="A19:J19"/>
    <mergeCell ref="A16:B16"/>
    <mergeCell ref="A33:C33"/>
    <mergeCell ref="C10:D10"/>
    <mergeCell ref="C16:D16"/>
    <mergeCell ref="A25:B25"/>
    <mergeCell ref="C25:D25"/>
    <mergeCell ref="H12:J12"/>
    <mergeCell ref="E26:J26"/>
    <mergeCell ref="C9:D9"/>
    <mergeCell ref="A35:C35"/>
    <mergeCell ref="A1:J1"/>
    <mergeCell ref="H14:J14"/>
    <mergeCell ref="C11:D11"/>
    <mergeCell ref="A37:J37"/>
    <mergeCell ref="A29:B29"/>
    <mergeCell ref="A13:B13"/>
    <mergeCell ref="C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3"/>
  <sheetViews>
    <sheetView showGridLines="1" workbookViewId="0">
      <selection activeCell="A1" sqref="A1"/>
    </sheetView>
  </sheetViews>
  <sheetFormatPr baseColWidth="8" defaultRowHeight="15"/>
  <cols>
    <col width="12" customWidth="1" min="1" max="1"/>
    <col width="14" customWidth="1" min="2" max="2"/>
    <col width="14" customWidth="1" min="3" max="3"/>
    <col width="14" customWidth="1" min="4" max="4"/>
    <col width="16" customWidth="1" min="5" max="5"/>
    <col width="16" customWidth="1" min="6" max="6"/>
    <col width="16" customWidth="1" min="7" max="7"/>
    <col width="16" customWidth="1" min="8" max="8"/>
    <col width="16" customWidth="1" min="9" max="9"/>
    <col width="12" customWidth="1" min="10" max="10"/>
  </cols>
  <sheetData>
    <row r="1" ht="36" customHeight="1">
      <c r="A1" s="1" t="inlineStr">
        <is>
          <t xml:space="preserve"> 06. 負荷テスト結果回収・JTLファイル仕様・Excel取込手順</t>
        </is>
      </c>
    </row>
    <row r="2" ht="22" customHeight="1">
      <c r="A2" s="2" t="inlineStr">
        <is>
          <t xml:space="preserve">  ■ LinuxからのSCP回収・JTL全17フィールド定義・Power Query取込手順・エポックミリ秒日時変換</t>
        </is>
      </c>
    </row>
    <row r="4" ht="26" customHeight="1">
      <c r="A4" s="8" t="inlineStr">
        <is>
          <t xml:space="preserve"> ▶ 1. Linux実行サーバからのテスト結果ファイル回収手順</t>
        </is>
      </c>
    </row>
    <row r="5" ht="20" customHeight="1">
      <c r="A5" s="32" t="inlineStr">
        <is>
          <t>【PowerShell でのテスト結果回収コマンド】
# 1. JTLサンプリングログの回収:
scp -P 22 user@linux-host:/data/jmeter/results/*.jtl C:\PerformanceTest\Results\
# 2. JMeterシステムログの回収:
scp -P 22 user@linux-host:/data/jmeter/logs/*.log C:\PerformanceTest\Logs\
# 3. HTMLダッシュボードレポートの回収 (フォルダごと):
scp -P 22 -r user@linux-host:/data/jmeter/results/report_* C:\PerformanceTest\Reports\</t>
        </is>
      </c>
      <c r="B5" s="33" t="n"/>
      <c r="C5" s="33" t="n"/>
      <c r="D5" s="33" t="n"/>
      <c r="E5" s="33" t="n"/>
      <c r="F5" s="33" t="n"/>
      <c r="G5" s="33" t="n"/>
      <c r="H5" s="33" t="n"/>
      <c r="I5" s="33" t="n"/>
      <c r="J5" s="33" t="n"/>
    </row>
    <row r="6" ht="20" customHeight="1">
      <c r="A6" s="33" t="n"/>
      <c r="B6" s="33" t="n"/>
      <c r="C6" s="33" t="n"/>
      <c r="D6" s="33" t="n"/>
      <c r="E6" s="33" t="n"/>
      <c r="F6" s="33" t="n"/>
      <c r="G6" s="33" t="n"/>
      <c r="H6" s="33" t="n"/>
      <c r="I6" s="33" t="n"/>
      <c r="J6" s="33" t="n"/>
    </row>
    <row r="7" ht="24" customHeight="1">
      <c r="A7" s="33" t="n"/>
      <c r="B7" s="33" t="n"/>
      <c r="C7" s="33" t="n"/>
      <c r="D7" s="33" t="n"/>
      <c r="E7" s="33" t="n"/>
      <c r="F7" s="33" t="n"/>
      <c r="G7" s="33" t="n"/>
      <c r="H7" s="33" t="n"/>
      <c r="I7" s="33" t="n"/>
      <c r="J7" s="33" t="n"/>
    </row>
    <row r="9" ht="26" customHeight="1">
      <c r="A9" s="8" t="inlineStr">
        <is>
          <t xml:space="preserve"> ▶ 2. JMeter JTL (CSV形式) ファイルの全17フィールド完全仕様定義</t>
        </is>
      </c>
    </row>
    <row r="10" ht="24" customHeight="1">
      <c r="A10" s="10" t="inlineStr">
        <is>
          <t>フィールド名 (CSVヘッダ)</t>
        </is>
      </c>
      <c r="B10" s="11" t="n"/>
      <c r="C10" s="11" t="n"/>
      <c r="D10" s="10" t="inlineStr">
        <is>
          <t>日本語項目名・単位</t>
        </is>
      </c>
      <c r="E10" s="11" t="n"/>
      <c r="F10" s="10" t="inlineStr">
        <is>
          <t>フィールド定義・分析上の着眼点</t>
        </is>
      </c>
      <c r="G10" s="11" t="n"/>
      <c r="H10" s="11" t="n"/>
      <c r="I10" s="11" t="n"/>
      <c r="J10" s="11" t="n"/>
    </row>
    <row r="11" ht="20" customHeight="1">
      <c r="A11" s="36" t="inlineStr">
        <is>
          <t>timeStamp</t>
        </is>
      </c>
      <c r="B11" s="7" t="n"/>
      <c r="C11" s="7" t="n"/>
      <c r="D11" s="13" t="inlineStr">
        <is>
          <t>エポックミリ秒 (UNIX Time)</t>
        </is>
      </c>
      <c r="E11" s="7" t="n"/>
      <c r="F11" s="6" t="inlineStr">
        <is>
          <t>リクエストが開始された時刻 (ミリ秒単位)。ExcelでJST日時に変換可能。</t>
        </is>
      </c>
      <c r="G11" s="7" t="n"/>
      <c r="H11" s="7" t="n"/>
      <c r="I11" s="7" t="n"/>
      <c r="J11" s="7" t="n"/>
    </row>
    <row r="12" ht="20" customHeight="1">
      <c r="A12" s="37" t="inlineStr">
        <is>
          <t>elapsed</t>
        </is>
      </c>
      <c r="B12" s="17" t="n"/>
      <c r="C12" s="17" t="n"/>
      <c r="D12" s="16" t="inlineStr">
        <is>
          <t>経過時間 / 応答時間 (ms)</t>
        </is>
      </c>
      <c r="E12" s="17" t="n"/>
      <c r="F12" s="18" t="inlineStr">
        <is>
          <t>リクエスト送信開始からレスポンス受信完了までの所要時間。主要分析対象。</t>
        </is>
      </c>
      <c r="G12" s="17" t="n"/>
      <c r="H12" s="17" t="n"/>
      <c r="I12" s="17" t="n"/>
      <c r="J12" s="17" t="n"/>
    </row>
    <row r="13" ht="20" customHeight="1">
      <c r="A13" s="36" t="inlineStr">
        <is>
          <t>label</t>
        </is>
      </c>
      <c r="B13" s="7" t="n"/>
      <c r="C13" s="7" t="n"/>
      <c r="D13" s="13" t="inlineStr">
        <is>
          <t>サンプラー表示名</t>
        </is>
      </c>
      <c r="E13" s="7" t="n"/>
      <c r="F13" s="6" t="inlineStr">
        <is>
          <t>シナリオ内で命名したHTTPサンプラーの名前 (例: 01_Auth_CognitoToken)。</t>
        </is>
      </c>
      <c r="G13" s="7" t="n"/>
      <c r="H13" s="7" t="n"/>
      <c r="I13" s="7" t="n"/>
      <c r="J13" s="7" t="n"/>
    </row>
    <row r="14" ht="20" customHeight="1">
      <c r="A14" s="37" t="inlineStr">
        <is>
          <t>responseCode</t>
        </is>
      </c>
      <c r="B14" s="17" t="n"/>
      <c r="C14" s="17" t="n"/>
      <c r="D14" s="16" t="inlineStr">
        <is>
          <t>HTTPステータスコード</t>
        </is>
      </c>
      <c r="E14" s="17" t="n"/>
      <c r="F14" s="18" t="inlineStr">
        <is>
          <t>サーバから返却されたHTTPコード (200, 400, 401, 403, 500, 504等)。</t>
        </is>
      </c>
      <c r="G14" s="17" t="n"/>
      <c r="H14" s="17" t="n"/>
      <c r="I14" s="17" t="n"/>
      <c r="J14" s="17" t="n"/>
    </row>
    <row r="15" ht="20" customHeight="1">
      <c r="A15" s="36" t="inlineStr">
        <is>
          <t>responseMessage</t>
        </is>
      </c>
      <c r="B15" s="7" t="n"/>
      <c r="C15" s="7" t="n"/>
      <c r="D15" s="13" t="inlineStr">
        <is>
          <t>HTTPレスポンスメッセージ</t>
        </is>
      </c>
      <c r="E15" s="7" t="n"/>
      <c r="F15" s="6" t="inlineStr">
        <is>
          <t>ステータスコードに付随するメッセージ (OK, Unauthorized, Forbidden等)。</t>
        </is>
      </c>
      <c r="G15" s="7" t="n"/>
      <c r="H15" s="7" t="n"/>
      <c r="I15" s="7" t="n"/>
      <c r="J15" s="7" t="n"/>
    </row>
    <row r="16" ht="20" customHeight="1">
      <c r="A16" s="37" t="inlineStr">
        <is>
          <t>threadName</t>
        </is>
      </c>
      <c r="B16" s="17" t="n"/>
      <c r="C16" s="17" t="n"/>
      <c r="D16" s="16" t="inlineStr">
        <is>
          <t>実行スレッド識別名</t>
        </is>
      </c>
      <c r="E16" s="17" t="n"/>
      <c r="F16" s="18" t="inlineStr">
        <is>
          <t>スレッドグループ名および仮想ユーザー番号 (例: TG_API 1-15)。</t>
        </is>
      </c>
      <c r="G16" s="17" t="n"/>
      <c r="H16" s="17" t="n"/>
      <c r="I16" s="17" t="n"/>
      <c r="J16" s="17" t="n"/>
    </row>
    <row r="17" ht="20" customHeight="1">
      <c r="A17" s="36" t="inlineStr">
        <is>
          <t>dataType</t>
        </is>
      </c>
      <c r="B17" s="7" t="n"/>
      <c r="C17" s="7" t="n"/>
      <c r="D17" s="13" t="inlineStr">
        <is>
          <t>データ種別</t>
        </is>
      </c>
      <c r="E17" s="7" t="n"/>
      <c r="F17" s="6" t="inlineStr">
        <is>
          <t>返却データのMIMEタイプ分類 (通常は text)。</t>
        </is>
      </c>
      <c r="G17" s="7" t="n"/>
      <c r="H17" s="7" t="n"/>
      <c r="I17" s="7" t="n"/>
      <c r="J17" s="7" t="n"/>
    </row>
    <row r="18" ht="20" customHeight="1">
      <c r="A18" s="37" t="inlineStr">
        <is>
          <t>success</t>
        </is>
      </c>
      <c r="B18" s="17" t="n"/>
      <c r="C18" s="17" t="n"/>
      <c r="D18" s="16" t="inlineStr">
        <is>
          <t>成否フラグ (true / false)</t>
        </is>
      </c>
      <c r="E18" s="17" t="n"/>
      <c r="F18" s="18" t="inlineStr">
        <is>
          <t>全アサーションに合格し、HTTPコードが正常であれば true、失敗なら false。</t>
        </is>
      </c>
      <c r="G18" s="17" t="n"/>
      <c r="H18" s="17" t="n"/>
      <c r="I18" s="17" t="n"/>
      <c r="J18" s="17" t="n"/>
    </row>
    <row r="19" ht="20" customHeight="1">
      <c r="A19" s="36" t="inlineStr">
        <is>
          <t>failureMessage</t>
        </is>
      </c>
      <c r="B19" s="7" t="n"/>
      <c r="C19" s="7" t="n"/>
      <c r="D19" s="13" t="inlineStr">
        <is>
          <t>アサーション失敗理由</t>
        </is>
      </c>
      <c r="E19" s="7" t="n"/>
      <c r="F19" s="6" t="inlineStr">
        <is>
          <t>アサーションが不合格となった場合の具体的なエラー内容。</t>
        </is>
      </c>
      <c r="G19" s="7" t="n"/>
      <c r="H19" s="7" t="n"/>
      <c r="I19" s="7" t="n"/>
      <c r="J19" s="7" t="n"/>
    </row>
    <row r="20" ht="20" customHeight="1">
      <c r="A20" s="37" t="inlineStr">
        <is>
          <t>bytes</t>
        </is>
      </c>
      <c r="B20" s="17" t="n"/>
      <c r="C20" s="17" t="n"/>
      <c r="D20" s="16" t="inlineStr">
        <is>
          <t>受信バイト数</t>
        </is>
      </c>
      <c r="E20" s="17" t="n"/>
      <c r="F20" s="18" t="inlineStr">
        <is>
          <t>レスポンス本文およびヘッダを含めてサーバから受信した全バイト数。</t>
        </is>
      </c>
      <c r="G20" s="17" t="n"/>
      <c r="H20" s="17" t="n"/>
      <c r="I20" s="17" t="n"/>
      <c r="J20" s="17" t="n"/>
    </row>
    <row r="21" ht="20" customHeight="1">
      <c r="A21" s="36" t="inlineStr">
        <is>
          <t>sentBytes</t>
        </is>
      </c>
      <c r="B21" s="7" t="n"/>
      <c r="C21" s="7" t="n"/>
      <c r="D21" s="13" t="inlineStr">
        <is>
          <t>送信バイト数</t>
        </is>
      </c>
      <c r="E21" s="7" t="n"/>
      <c r="F21" s="6" t="inlineStr">
        <is>
          <t>リクエストURL、ヘッダ、BodyデータとしてJMeterが送信した全バイト数。</t>
        </is>
      </c>
      <c r="G21" s="7" t="n"/>
      <c r="H21" s="7" t="n"/>
      <c r="I21" s="7" t="n"/>
      <c r="J21" s="7" t="n"/>
    </row>
    <row r="22" ht="20" customHeight="1">
      <c r="A22" s="37" t="inlineStr">
        <is>
          <t>grpThreads</t>
        </is>
      </c>
      <c r="B22" s="17" t="n"/>
      <c r="C22" s="17" t="n"/>
      <c r="D22" s="16" t="inlineStr">
        <is>
          <t>自グループのアクティブスレッド数</t>
        </is>
      </c>
      <c r="E22" s="17" t="n"/>
      <c r="F22" s="18" t="inlineStr">
        <is>
          <t>サンプリング瞬間に所属スレッドグループ内で稼働していたスレッド数。</t>
        </is>
      </c>
      <c r="G22" s="17" t="n"/>
      <c r="H22" s="17" t="n"/>
      <c r="I22" s="17" t="n"/>
      <c r="J22" s="17" t="n"/>
    </row>
    <row r="23" ht="20" customHeight="1">
      <c r="A23" s="36" t="inlineStr">
        <is>
          <t>allThreads</t>
        </is>
      </c>
      <c r="B23" s="7" t="n"/>
      <c r="C23" s="7" t="n"/>
      <c r="D23" s="13" t="inlineStr">
        <is>
          <t>全体のアクティブスレッド数</t>
        </is>
      </c>
      <c r="E23" s="7" t="n"/>
      <c r="F23" s="6" t="inlineStr">
        <is>
          <t>全スレッドグループを合わせたJMeterプロセス全体のアクティブスレッド数。</t>
        </is>
      </c>
      <c r="G23" s="7" t="n"/>
      <c r="H23" s="7" t="n"/>
      <c r="I23" s="7" t="n"/>
      <c r="J23" s="7" t="n"/>
    </row>
    <row r="24" ht="20" customHeight="1">
      <c r="A24" s="37" t="inlineStr">
        <is>
          <t>URL</t>
        </is>
      </c>
      <c r="B24" s="17" t="n"/>
      <c r="C24" s="17" t="n"/>
      <c r="D24" s="16" t="inlineStr">
        <is>
          <t>リクエスト先完全URL</t>
        </is>
      </c>
      <c r="E24" s="17" t="n"/>
      <c r="F24" s="18" t="inlineStr">
        <is>
          <t>実際にアクセスされたFQDNおよびパス、クエリパラメータ。</t>
        </is>
      </c>
      <c r="G24" s="17" t="n"/>
      <c r="H24" s="17" t="n"/>
      <c r="I24" s="17" t="n"/>
      <c r="J24" s="17" t="n"/>
    </row>
    <row r="25" ht="20" customHeight="1">
      <c r="A25" s="36" t="inlineStr">
        <is>
          <t>Latency</t>
        </is>
      </c>
      <c r="B25" s="7" t="n"/>
      <c r="C25" s="7" t="n"/>
      <c r="D25" s="13" t="inlineStr">
        <is>
          <t>ネットワークレイテンシ (ms)</t>
        </is>
      </c>
      <c r="E25" s="7" t="n"/>
      <c r="F25" s="6" t="inlineStr">
        <is>
          <t>リクエスト送信開始からレスポンスの「最初の1バイト」を受信するまでの時間。</t>
        </is>
      </c>
      <c r="G25" s="7" t="n"/>
      <c r="H25" s="7" t="n"/>
      <c r="I25" s="7" t="n"/>
      <c r="J25" s="7" t="n"/>
    </row>
    <row r="26" ht="20" customHeight="1">
      <c r="A26" s="37" t="inlineStr">
        <is>
          <t>IdleTime</t>
        </is>
      </c>
      <c r="B26" s="17" t="n"/>
      <c r="C26" s="17" t="n"/>
      <c r="D26" s="16" t="inlineStr">
        <is>
          <t>アイドル時間 (ms)</t>
        </is>
      </c>
      <c r="E26" s="17" t="n"/>
      <c r="F26" s="18" t="inlineStr">
        <is>
          <t>タイマーなどによる意図的な待機時間。通常は 0。</t>
        </is>
      </c>
      <c r="G26" s="17" t="n"/>
      <c r="H26" s="17" t="n"/>
      <c r="I26" s="17" t="n"/>
      <c r="J26" s="17" t="n"/>
    </row>
    <row r="27" ht="20" customHeight="1">
      <c r="A27" s="36" t="inlineStr">
        <is>
          <t>Connect</t>
        </is>
      </c>
      <c r="B27" s="7" t="n"/>
      <c r="C27" s="7" t="n"/>
      <c r="D27" s="13" t="inlineStr">
        <is>
          <t>TCP/TLS接続確立時間 (ms)</t>
        </is>
      </c>
      <c r="E27" s="7" t="n"/>
      <c r="F27" s="6" t="inlineStr">
        <is>
          <t>TCP 3-wayハンドシェイクおよびSSL/TLSハンドシェイクに要した時間。</t>
        </is>
      </c>
      <c r="G27" s="7" t="n"/>
      <c r="H27" s="7" t="n"/>
      <c r="I27" s="7" t="n"/>
      <c r="J27" s="7" t="n"/>
    </row>
    <row r="29" ht="26" customHeight="1">
      <c r="A29" s="8" t="inlineStr">
        <is>
          <t xml:space="preserve"> ▶ 3. ExcelでのJTL取り込み手順（Power Query）とエポックミリ秒変換数式</t>
        </is>
      </c>
    </row>
    <row r="30" ht="54" customHeight="1">
      <c r="A30" s="4" t="inlineStr">
        <is>
          <t>Step 1: Power Queryによる取込</t>
        </is>
      </c>
      <c r="B30" s="5" t="n"/>
      <c r="C30" s="5" t="n"/>
      <c r="D30" s="6" t="inlineStr">
        <is>
          <t>1. Excel上部「データ」タブ →「データの取得」→「ファイルから」→「テキスト/CSVから」を選択。
2. 回収した .jtl ファイルを選択し、「インポート」をクリック。
3. プレビュー画面で以下を設定:
   - 元のファイル (文字コード): 「65001: Unicode (UTF-8)」を選択。
   - 区切り記号: 「コンマ」を選択。
4. 右下の「データの変換」をクリックしてPower Queryエディターを開く。</t>
        </is>
      </c>
      <c r="E30" s="7" t="n"/>
      <c r="F30" s="7" t="n"/>
      <c r="G30" s="7" t="n"/>
      <c r="H30" s="7" t="n"/>
      <c r="I30" s="7" t="n"/>
      <c r="J30" s="7" t="n"/>
    </row>
    <row r="31" ht="54" customHeight="1">
      <c r="A31" s="4" t="inlineStr">
        <is>
          <t>Step 2: 型の確認とシート読込</t>
        </is>
      </c>
      <c r="B31" s="5" t="n"/>
      <c r="C31" s="5" t="n"/>
      <c r="D31" s="6" t="inlineStr">
        <is>
          <t>1. elapsed, bytes, sentBytes, Latency, Connect 列のデータ型が「整数」になっていることを確認。
2. success 列が「論理値 (TRUE/FALSE)」になっていることを確認。
3. 「閉じて読み込む」をクリックし、Excelシート上にテーブルとして展開。</t>
        </is>
      </c>
      <c r="E31" s="7" t="n"/>
      <c r="F31" s="7" t="n"/>
      <c r="G31" s="7" t="n"/>
      <c r="H31" s="7" t="n"/>
      <c r="I31" s="7" t="n"/>
      <c r="J31" s="7" t="n"/>
    </row>
    <row r="32" ht="54" customHeight="1">
      <c r="A32" s="4" t="inlineStr">
        <is>
          <t>Step 3: エポックミリ秒のJST変換</t>
        </is>
      </c>
      <c r="B32" s="5" t="n"/>
      <c r="C32" s="5" t="n"/>
      <c r="D32" s="6" t="inlineStr">
        <is>
          <t>JTLの timeStamp は 1970年1月1日からの通算ミリ秒 (例: 1728000000000) です。
【Excel変換数式】(タイムスタンプが A2 セルの場合):
  = ((A2 / 1000) / 86400) + DATE(1970, 1, 1) + (9 / 24)
【解説】
・A2 / 1000 : ミリ秒を秒に変換
・/ 86400 : 秒を日 (1日=86400秒) に変換
・+ DATE(1970,1,1) : UNIXエポック基準日を加算
・+ (9/24) : UTCから日本標準時 (JST = UTC+9時間) へ時差補正
※入力したセルの表示形式を「yyyy/mm/dd hh:mm:ss」に設定します。</t>
        </is>
      </c>
      <c r="E32" s="7" t="n"/>
      <c r="F32" s="7" t="n"/>
      <c r="G32" s="7" t="n"/>
      <c r="H32" s="7" t="n"/>
      <c r="I32" s="7" t="n"/>
      <c r="J32" s="7" t="n"/>
    </row>
    <row r="34" ht="26" customHeight="1">
      <c r="A34" s="8" t="inlineStr">
        <is>
          <t xml:space="preserve"> ▶ 4. 結果回収・Excel取込証跡貼付エリア</t>
        </is>
      </c>
    </row>
    <row r="35">
      <c r="A35" s="20" t="inlineStr">
        <is>
          <t>【画像・スクリーンショット貼付エリア】
● 対象: Windows 端末での SCP 結果回収実行画面
● 内容: PowerShell上でLinuxサーバからJTLファイルおよびログファイルをローカル端末へ回収完了した画面キャプチャ
● 推奨サイズ: 幅800px × 高さ450px (16:9)
※ 貼付方法: Excel上部「挿入」リボン →「図」→「画像」→「このデバイス...」で画像を挿入し、この枠内にサイズ調整して配置してください。</t>
        </is>
      </c>
      <c r="B35" s="21" t="n"/>
      <c r="C35" s="21" t="n"/>
      <c r="D35" s="21" t="n"/>
      <c r="E35" s="22" t="n"/>
      <c r="F35" s="20" t="inlineStr">
        <is>
          <t>【画像・スクリーンショット貼付エリア】
● 対象: Excel Power Query による JTL (CSV) インポート画面
● 内容: Power QueryでUTF-8文字コード・カンマ区切りを指定し、JTLデータが正しくプレビュー・展開された証跡キャプチャ
● 推奨サイズ: 幅800px × 高さ450px (16:9)
※ 貼付方法: Excel上部「挿入」リボン →「図」→「画像」→「このデバイス...」で画像を挿入し、この枠内にサイズ調整して配置してください。</t>
        </is>
      </c>
      <c r="G35" s="21" t="n"/>
      <c r="H35" s="21" t="n"/>
      <c r="I35" s="21" t="n"/>
      <c r="J35" s="22" t="n"/>
    </row>
    <row r="36">
      <c r="A36" s="23" t="n"/>
      <c r="E36" s="24" t="n"/>
      <c r="F36" s="23" t="n"/>
      <c r="J36" s="24" t="n"/>
    </row>
    <row r="37">
      <c r="A37" s="23" t="n"/>
      <c r="E37" s="24" t="n"/>
      <c r="F37" s="23" t="n"/>
      <c r="J37" s="24" t="n"/>
    </row>
    <row r="38">
      <c r="A38" s="23" t="n"/>
      <c r="E38" s="24" t="n"/>
      <c r="F38" s="23" t="n"/>
      <c r="J38" s="24" t="n"/>
    </row>
    <row r="39">
      <c r="A39" s="23" t="n"/>
      <c r="E39" s="24" t="n"/>
      <c r="F39" s="23" t="n"/>
      <c r="J39" s="24" t="n"/>
    </row>
    <row r="40">
      <c r="A40" s="23" t="n"/>
      <c r="E40" s="24" t="n"/>
      <c r="F40" s="23" t="n"/>
      <c r="J40" s="24" t="n"/>
    </row>
    <row r="41">
      <c r="A41" s="23" t="n"/>
      <c r="E41" s="24" t="n"/>
      <c r="F41" s="23" t="n"/>
      <c r="J41" s="24" t="n"/>
    </row>
    <row r="42">
      <c r="A42" s="23" t="n"/>
      <c r="E42" s="24" t="n"/>
      <c r="F42" s="23" t="n"/>
      <c r="J42" s="24" t="n"/>
    </row>
    <row r="43">
      <c r="A43" s="25" t="n"/>
      <c r="B43" s="26" t="n"/>
      <c r="C43" s="26" t="n"/>
      <c r="D43" s="26" t="n"/>
      <c r="E43" s="27" t="n"/>
      <c r="F43" s="25" t="n"/>
      <c r="G43" s="26" t="n"/>
      <c r="H43" s="26" t="n"/>
      <c r="I43" s="26" t="n"/>
      <c r="J43" s="27" t="n"/>
    </row>
  </sheetData>
  <mergeCells count="69">
    <mergeCell ref="D20:E20"/>
    <mergeCell ref="A25:C25"/>
    <mergeCell ref="D10:E10"/>
    <mergeCell ref="F11:J11"/>
    <mergeCell ref="D19:E19"/>
    <mergeCell ref="F10:J10"/>
    <mergeCell ref="F16:J16"/>
    <mergeCell ref="A18:C18"/>
    <mergeCell ref="F19:J19"/>
    <mergeCell ref="A4:J4"/>
    <mergeCell ref="F25:J25"/>
    <mergeCell ref="A21:C21"/>
    <mergeCell ref="D22:E22"/>
    <mergeCell ref="A27:C27"/>
    <mergeCell ref="A12:C12"/>
    <mergeCell ref="A5:J7"/>
    <mergeCell ref="A29:J29"/>
    <mergeCell ref="A26:C26"/>
    <mergeCell ref="D30:J30"/>
    <mergeCell ref="A35:E43"/>
    <mergeCell ref="D21:E21"/>
    <mergeCell ref="F15:J15"/>
    <mergeCell ref="F21:J21"/>
    <mergeCell ref="F12:J12"/>
    <mergeCell ref="A23:C23"/>
    <mergeCell ref="F24:J24"/>
    <mergeCell ref="A9:J9"/>
    <mergeCell ref="D11:E11"/>
    <mergeCell ref="D13:E13"/>
    <mergeCell ref="A14:C14"/>
    <mergeCell ref="F20:J20"/>
    <mergeCell ref="A17:C17"/>
    <mergeCell ref="A22:C22"/>
    <mergeCell ref="D27:E27"/>
    <mergeCell ref="F18:J18"/>
    <mergeCell ref="A34:J34"/>
    <mergeCell ref="D17:E17"/>
    <mergeCell ref="A20:C20"/>
    <mergeCell ref="F26:J26"/>
    <mergeCell ref="A10:C10"/>
    <mergeCell ref="F17:J17"/>
    <mergeCell ref="A1:J1"/>
    <mergeCell ref="D16:E16"/>
    <mergeCell ref="A13:C13"/>
    <mergeCell ref="A19:C19"/>
    <mergeCell ref="D31:J31"/>
    <mergeCell ref="F23:J23"/>
    <mergeCell ref="A31:C31"/>
    <mergeCell ref="F35:J43"/>
    <mergeCell ref="A30:C30"/>
    <mergeCell ref="D18:E18"/>
    <mergeCell ref="A15:C15"/>
    <mergeCell ref="F22:J22"/>
    <mergeCell ref="F13:J13"/>
    <mergeCell ref="A24:C24"/>
    <mergeCell ref="A32:C32"/>
    <mergeCell ref="D12:E12"/>
    <mergeCell ref="F27:J27"/>
    <mergeCell ref="D25:E25"/>
    <mergeCell ref="D32:J32"/>
    <mergeCell ref="A11:C11"/>
    <mergeCell ref="D24:E24"/>
    <mergeCell ref="D15:E15"/>
    <mergeCell ref="D23:E23"/>
    <mergeCell ref="D14:E14"/>
    <mergeCell ref="A2:J2"/>
    <mergeCell ref="F14:J14"/>
    <mergeCell ref="D26:E26"/>
    <mergeCell ref="A16:C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2"/>
  <sheetViews>
    <sheetView showGridLines="1" workbookViewId="0">
      <selection activeCell="A1" sqref="A1"/>
    </sheetView>
  </sheetViews>
  <sheetFormatPr baseColWidth="8" defaultRowHeight="15"/>
  <cols>
    <col width="16"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2" customWidth="1" min="11" max="11"/>
    <col width="10" customWidth="1" min="12" max="12"/>
  </cols>
  <sheetData>
    <row r="1" ht="36" customHeight="1">
      <c r="A1" s="1" t="inlineStr">
        <is>
          <t xml:space="preserve"> 07. 負荷テスト性能分析レポート &amp; SLA判定書（成果物報告テンプレート）</t>
        </is>
      </c>
    </row>
    <row r="2" ht="22" customHeight="1">
      <c r="A2" s="2" t="inlineStr">
        <is>
          <t xml:space="preserve">  ■ 総合KPI・SLA達成状況・トランザクション別性能統計・インフラ相関・エラー分析・改善提言</t>
        </is>
      </c>
    </row>
    <row r="4" ht="26" customHeight="1">
      <c r="A4" s="8" t="inlineStr">
        <is>
          <t xml:space="preserve"> ▶ 1. 負荷テスト実施要領・前提条件サマリ</t>
        </is>
      </c>
    </row>
    <row r="5" ht="20" customHeight="1">
      <c r="A5" s="4" t="inlineStr">
        <is>
          <t>対象システム名</t>
        </is>
      </c>
      <c r="B5" s="5" t="n"/>
      <c r="C5" s="6" t="inlineStr">
        <is>
          <t>Cognito OAuth2 / API Gateway / マイクロサービス基盤</t>
        </is>
      </c>
      <c r="D5" s="7" t="n"/>
      <c r="E5" s="7" t="n"/>
      <c r="F5" s="7" t="n"/>
      <c r="G5" s="4" t="inlineStr">
        <is>
          <t>テスト実施日時</t>
        </is>
      </c>
      <c r="H5" s="5" t="n"/>
      <c r="I5" s="6" t="inlineStr">
        <is>
          <t>2026年10月04日 14:00 ～ 14:20 JST (20分間)</t>
        </is>
      </c>
      <c r="J5" s="7" t="n"/>
      <c r="K5" s="7" t="n"/>
      <c r="L5" s="7" t="n"/>
    </row>
    <row r="6" ht="20" customHeight="1">
      <c r="A6" s="4" t="inlineStr">
        <is>
          <t>テストシナリオ名</t>
        </is>
      </c>
      <c r="B6" s="5" t="n"/>
      <c r="C6" s="6" t="inlineStr">
        <is>
          <t>Cognito認証＆REST API業務リクエスト連続負荷テスト</t>
        </is>
      </c>
      <c r="D6" s="7" t="n"/>
      <c r="E6" s="7" t="n"/>
      <c r="F6" s="7" t="n"/>
      <c r="G6" s="4" t="inlineStr">
        <is>
          <t>テスト実行環境</t>
        </is>
      </c>
      <c r="H6" s="5" t="n"/>
      <c r="I6" s="6" t="inlineStr">
        <is>
          <t>ステージング環境 (本番同等構成)</t>
        </is>
      </c>
      <c r="J6" s="7" t="n"/>
      <c r="K6" s="7" t="n"/>
      <c r="L6" s="7" t="n"/>
    </row>
    <row r="7" ht="20" customHeight="1">
      <c r="A7" s="4" t="inlineStr">
        <is>
          <t>最大同時仮想ユーザー数</t>
        </is>
      </c>
      <c r="B7" s="5" t="n"/>
      <c r="C7" s="6" t="inlineStr">
        <is>
          <t>50 スレッド (Threads)</t>
        </is>
      </c>
      <c r="D7" s="7" t="n"/>
      <c r="E7" s="7" t="n"/>
      <c r="F7" s="7" t="n"/>
      <c r="G7" s="4" t="inlineStr">
        <is>
          <t>ランプアップ時間</t>
        </is>
      </c>
      <c r="H7" s="5" t="n"/>
      <c r="I7" s="6" t="inlineStr">
        <is>
          <t>60 秒 (段階的負荷上昇)</t>
        </is>
      </c>
      <c r="J7" s="7" t="n"/>
      <c r="K7" s="7" t="n"/>
      <c r="L7" s="7" t="n"/>
    </row>
    <row r="8" ht="20" customHeight="1">
      <c r="A8" s="4" t="inlineStr">
        <is>
          <t>測定継続時間</t>
        </is>
      </c>
      <c r="B8" s="5" t="n"/>
      <c r="C8" s="6" t="inlineStr">
        <is>
          <t>1,200 秒 (20 分間定常負荷)</t>
        </is>
      </c>
      <c r="D8" s="7" t="n"/>
      <c r="E8" s="7" t="n"/>
      <c r="F8" s="7" t="n"/>
      <c r="G8" s="4" t="inlineStr">
        <is>
          <t>テストデータ規模</t>
        </is>
      </c>
      <c r="H8" s="5" t="n"/>
      <c r="I8" s="6" t="inlineStr">
        <is>
          <t>CSV 1,000 件ユニークアカウント</t>
        </is>
      </c>
      <c r="J8" s="7" t="n"/>
      <c r="K8" s="7" t="n"/>
      <c r="L8" s="7" t="n"/>
    </row>
    <row r="9" ht="20" customHeight="1">
      <c r="A9" s="4" t="inlineStr">
        <is>
          <t>テスト実施者</t>
        </is>
      </c>
      <c r="B9" s="5" t="n"/>
      <c r="C9" s="6" t="inlineStr">
        <is>
          <t>性能テスト推進チーム (Performance Eng Group)</t>
        </is>
      </c>
      <c r="D9" s="7" t="n"/>
      <c r="E9" s="7" t="n"/>
      <c r="F9" s="7" t="n"/>
      <c r="G9" s="4" t="inlineStr">
        <is>
          <t>負荷生成サーバ</t>
        </is>
      </c>
      <c r="H9" s="5" t="n"/>
      <c r="I9" s="6" t="inlineStr">
        <is>
          <t>Linux (AlmaLinux 9, 4 vCPU, 8GB RAM)</t>
        </is>
      </c>
      <c r="J9" s="7" t="n"/>
      <c r="K9" s="7" t="n"/>
      <c r="L9" s="7" t="n"/>
    </row>
    <row r="11" ht="26" customHeight="1">
      <c r="A11" s="8" t="inlineStr">
        <is>
          <t xml:space="preserve"> ▶ 2. エグゼクティブサマリ・総合合否判定＆主要KPIカード</t>
        </is>
      </c>
    </row>
    <row r="12" ht="28" customHeight="1">
      <c r="A12" s="39" t="inlineStr">
        <is>
          <t xml:space="preserve"> 【総合判定】: 合格 (PASS) - 全主要業務トランザクションにおいてSLA要件（応答時間2.0秒以内・エラー率0.1%未満）を達成</t>
        </is>
      </c>
    </row>
    <row r="14" ht="18" customHeight="1">
      <c r="A14" s="40" t="inlineStr">
        <is>
          <t>総リクエスト数</t>
        </is>
      </c>
      <c r="B14" s="5" t="n"/>
      <c r="C14" s="40" t="inlineStr">
        <is>
          <t>全体平均応答時間</t>
        </is>
      </c>
      <c r="D14" s="5" t="n"/>
      <c r="E14" s="40" t="inlineStr">
        <is>
          <t>90%ile 応答時間</t>
        </is>
      </c>
      <c r="F14" s="5" t="n"/>
      <c r="G14" s="40" t="inlineStr">
        <is>
          <t>最大スループット</t>
        </is>
      </c>
      <c r="H14" s="5" t="n"/>
      <c r="I14" s="40" t="inlineStr">
        <is>
          <t>総エラー件数</t>
        </is>
      </c>
      <c r="J14" s="5" t="n"/>
      <c r="K14" s="40" t="inlineStr">
        <is>
          <t>総合エラー率</t>
        </is>
      </c>
      <c r="L14" s="5" t="n"/>
    </row>
    <row r="15" ht="32" customHeight="1">
      <c r="A15" s="41" t="inlineStr">
        <is>
          <t>62,480 req</t>
        </is>
      </c>
      <c r="B15" s="7" t="n"/>
      <c r="C15" s="41" t="inlineStr">
        <is>
          <t>184 ms</t>
        </is>
      </c>
      <c r="D15" s="7" t="n"/>
      <c r="E15" s="41" t="inlineStr">
        <is>
          <t>312 ms</t>
        </is>
      </c>
      <c r="F15" s="7" t="n"/>
      <c r="G15" s="41" t="inlineStr">
        <is>
          <t>64.2 TPS</t>
        </is>
      </c>
      <c r="H15" s="7" t="n"/>
      <c r="I15" s="41" t="inlineStr">
        <is>
          <t>13 件</t>
        </is>
      </c>
      <c r="J15" s="7" t="n"/>
      <c r="K15" s="41" t="inlineStr">
        <is>
          <t>0.02%</t>
        </is>
      </c>
      <c r="L15" s="7" t="n"/>
    </row>
    <row r="16" ht="16" customHeight="1">
      <c r="A16" s="42" t="inlineStr">
        <is>
          <t>テスト期間通算の処理件数</t>
        </is>
      </c>
      <c r="B16" s="7" t="n"/>
      <c r="C16" s="42" t="inlineStr">
        <is>
          <t>全トランザクション平均</t>
        </is>
      </c>
      <c r="D16" s="7" t="n"/>
      <c r="E16" s="42" t="inlineStr">
        <is>
          <t>9割のユーザーが享受した応答速度</t>
        </is>
      </c>
      <c r="F16" s="7" t="n"/>
      <c r="G16" s="42" t="inlineStr">
        <is>
          <t>ピーク時の秒間トランザクション</t>
        </is>
      </c>
      <c r="H16" s="7" t="n"/>
      <c r="I16" s="42" t="inlineStr">
        <is>
          <t>エラー発生回数 (タイムアウト等)</t>
        </is>
      </c>
      <c r="J16" s="7" t="n"/>
      <c r="K16" s="42" t="inlineStr">
        <is>
          <t>許容SLA (0.10%未満) を大幅達成</t>
        </is>
      </c>
      <c r="L16" s="7" t="n"/>
    </row>
    <row r="18" ht="26" customHeight="1">
      <c r="A18" s="8" t="inlineStr">
        <is>
          <t xml:space="preserve"> ▶ 3. SLA達成状況・性能要件合否判定表</t>
        </is>
      </c>
    </row>
    <row r="19" ht="24" customHeight="1">
      <c r="A19" s="10" t="inlineStr">
        <is>
          <t>評価項目・対象</t>
        </is>
      </c>
      <c r="B19" s="11" t="n"/>
      <c r="C19" s="11" t="n"/>
      <c r="D19" s="10" t="inlineStr">
        <is>
          <t>目標SLA値・合否基準</t>
        </is>
      </c>
      <c r="E19" s="11" t="n"/>
      <c r="F19" s="10" t="inlineStr">
        <is>
          <t>実測値</t>
        </is>
      </c>
      <c r="G19" s="11" t="n"/>
      <c r="H19" s="10" t="inlineStr">
        <is>
          <t>判定結果</t>
        </is>
      </c>
      <c r="I19" s="11" t="n"/>
      <c r="J19" s="10" t="inlineStr">
        <is>
          <t>総括・分析コメント</t>
        </is>
      </c>
      <c r="K19" s="11" t="n"/>
      <c r="L19" s="11" t="n"/>
    </row>
    <row r="20" ht="24" customHeight="1">
      <c r="A20" s="13" t="inlineStr">
        <is>
          <t>通常業務API 応答時間</t>
        </is>
      </c>
      <c r="B20" s="7" t="n"/>
      <c r="C20" s="7" t="n"/>
      <c r="D20" s="6" t="inlineStr">
        <is>
          <t>平均応答時間 1.0 秒以内</t>
        </is>
      </c>
      <c r="E20" s="7" t="n"/>
      <c r="F20" s="12" t="inlineStr">
        <is>
          <t>184 ms</t>
        </is>
      </c>
      <c r="G20" s="7" t="n"/>
      <c r="H20" s="43" t="inlineStr">
        <is>
          <t>達成 (合格)</t>
        </is>
      </c>
      <c r="I20" s="44" t="n"/>
      <c r="J20" s="6" t="inlineStr">
        <is>
          <t>全業務APIで平均200ms未満を維持し、極めて良好。</t>
        </is>
      </c>
      <c r="K20" s="7" t="n"/>
      <c r="L20" s="7" t="n"/>
    </row>
    <row r="21" ht="24" customHeight="1">
      <c r="A21" s="16" t="inlineStr">
        <is>
          <t>通常業務API 90%ile</t>
        </is>
      </c>
      <c r="B21" s="17" t="n"/>
      <c r="C21" s="17" t="n"/>
      <c r="D21" s="18" t="inlineStr">
        <is>
          <t>90%ile 応答時間 2.0 秒以内</t>
        </is>
      </c>
      <c r="E21" s="17" t="n"/>
      <c r="F21" s="15" t="inlineStr">
        <is>
          <t>312 ms</t>
        </is>
      </c>
      <c r="G21" s="17" t="n"/>
      <c r="H21" s="43" t="inlineStr">
        <is>
          <t>達成 (合格)</t>
        </is>
      </c>
      <c r="I21" s="44" t="n"/>
      <c r="J21" s="18" t="inlineStr">
        <is>
          <t>ピーク時でも350ms以下に収まっており、スパイク遅延なし。</t>
        </is>
      </c>
      <c r="K21" s="17" t="n"/>
      <c r="L21" s="17" t="n"/>
    </row>
    <row r="22" ht="24" customHeight="1">
      <c r="A22" s="13" t="inlineStr">
        <is>
          <t>重要業務 (決済・注文) 95%ile</t>
        </is>
      </c>
      <c r="B22" s="7" t="n"/>
      <c r="C22" s="7" t="n"/>
      <c r="D22" s="6" t="inlineStr">
        <is>
          <t>95%ile 応答時間 3.0 秒以内</t>
        </is>
      </c>
      <c r="E22" s="7" t="n"/>
      <c r="F22" s="12" t="inlineStr">
        <is>
          <t>485 ms</t>
        </is>
      </c>
      <c r="G22" s="7" t="n"/>
      <c r="H22" s="43" t="inlineStr">
        <is>
          <t>達成 (合格)</t>
        </is>
      </c>
      <c r="I22" s="44" t="n"/>
      <c r="J22" s="6" t="inlineStr">
        <is>
          <t>Cognitoトークン取得および決済処理も500ms未満で安定。</t>
        </is>
      </c>
      <c r="K22" s="7" t="n"/>
      <c r="L22" s="7" t="n"/>
    </row>
    <row r="23" ht="24" customHeight="1">
      <c r="A23" s="16" t="inlineStr">
        <is>
          <t>システムエラー率</t>
        </is>
      </c>
      <c r="B23" s="17" t="n"/>
      <c r="C23" s="17" t="n"/>
      <c r="D23" s="18" t="inlineStr">
        <is>
          <t>エラー率 0.10 % 未満</t>
        </is>
      </c>
      <c r="E23" s="17" t="n"/>
      <c r="F23" s="15" t="inlineStr">
        <is>
          <t>0.02 % (13件)</t>
        </is>
      </c>
      <c r="G23" s="17" t="n"/>
      <c r="H23" s="43" t="inlineStr">
        <is>
          <t>達成 (合格)</t>
        </is>
      </c>
      <c r="I23" s="44" t="n"/>
      <c r="J23" s="18" t="inlineStr">
        <is>
          <t>一時的なネットワーク瞬断によるリトライのみで致命的障害なし。</t>
        </is>
      </c>
      <c r="K23" s="17" t="n"/>
      <c r="L23" s="17" t="n"/>
    </row>
    <row r="24" ht="24" customHeight="1">
      <c r="A24" s="13" t="inlineStr">
        <is>
          <t>目標スループット</t>
        </is>
      </c>
      <c r="B24" s="7" t="n"/>
      <c r="C24" s="7" t="n"/>
      <c r="D24" s="6" t="inlineStr">
        <is>
          <t>定常 50 TPS 以上の処理能力</t>
        </is>
      </c>
      <c r="E24" s="7" t="n"/>
      <c r="F24" s="12" t="inlineStr">
        <is>
          <t>平均 52.1 TPS (Max 64.2)</t>
        </is>
      </c>
      <c r="G24" s="7" t="n"/>
      <c r="H24" s="43" t="inlineStr">
        <is>
          <t>達成 (合格)</t>
        </is>
      </c>
      <c r="I24" s="44" t="n"/>
      <c r="J24" s="6" t="inlineStr">
        <is>
          <t>50ユーザー同時アクセス下で目標TPSを継続的に達成。</t>
        </is>
      </c>
      <c r="K24" s="7" t="n"/>
      <c r="L24" s="7" t="n"/>
    </row>
    <row r="26" ht="26" customHeight="1">
      <c r="A26" s="8" t="inlineStr">
        <is>
          <t xml:space="preserve"> ▶ 4. トランザクション別詳細性能統計データ（実数式集計）</t>
        </is>
      </c>
    </row>
    <row r="27" ht="24" customHeight="1">
      <c r="A27" s="10" t="inlineStr">
        <is>
          <t>トランザクション名 (Label)</t>
        </is>
      </c>
      <c r="B27" s="10" t="inlineStr">
        <is>
          <t>試行数</t>
        </is>
      </c>
      <c r="C27" s="10" t="inlineStr">
        <is>
          <t>平均 (ms)</t>
        </is>
      </c>
      <c r="D27" s="10" t="inlineStr">
        <is>
          <t>最小 (ms)</t>
        </is>
      </c>
      <c r="E27" s="10" t="inlineStr">
        <is>
          <t>最大 (ms)</t>
        </is>
      </c>
      <c r="F27" s="10" t="inlineStr">
        <is>
          <t>90%ile</t>
        </is>
      </c>
      <c r="G27" s="10" t="inlineStr">
        <is>
          <t>95%ile</t>
        </is>
      </c>
      <c r="H27" s="10" t="inlineStr">
        <is>
          <t>99%ile</t>
        </is>
      </c>
      <c r="I27" s="10" t="inlineStr">
        <is>
          <t>エラー数</t>
        </is>
      </c>
      <c r="J27" s="10" t="inlineStr">
        <is>
          <t>エラー率</t>
        </is>
      </c>
      <c r="K27" s="10" t="inlineStr">
        <is>
          <t>TPS</t>
        </is>
      </c>
      <c r="L27" s="10" t="inlineStr">
        <is>
          <t>判定</t>
        </is>
      </c>
    </row>
    <row r="28" ht="22" customHeight="1">
      <c r="A28" s="13" t="inlineStr">
        <is>
          <t>01_Auth_GetCognitoToken</t>
        </is>
      </c>
      <c r="B28" s="45" t="n">
        <v>8920</v>
      </c>
      <c r="C28" s="45" t="n">
        <v>142</v>
      </c>
      <c r="D28" s="45" t="n">
        <v>45</v>
      </c>
      <c r="E28" s="46" t="n">
        <v>1250</v>
      </c>
      <c r="F28" s="45" t="n">
        <v>210</v>
      </c>
      <c r="G28" s="45" t="n">
        <v>280</v>
      </c>
      <c r="H28" s="45" t="n">
        <v>420</v>
      </c>
      <c r="I28" s="45" t="n">
        <v>0</v>
      </c>
      <c r="J28" s="47" t="n">
        <v>0</v>
      </c>
      <c r="K28" s="48" t="n">
        <v>7.43</v>
      </c>
      <c r="L28" s="43" t="inlineStr">
        <is>
          <t>SLA合致</t>
        </is>
      </c>
    </row>
    <row r="29" ht="22" customHeight="1">
      <c r="A29" s="16" t="inlineStr">
        <is>
          <t>02_APIGW_CallResource</t>
        </is>
      </c>
      <c r="B29" s="49" t="n">
        <v>8920</v>
      </c>
      <c r="C29" s="49" t="n">
        <v>168</v>
      </c>
      <c r="D29" s="49" t="n">
        <v>62</v>
      </c>
      <c r="E29" s="50" t="n">
        <v>1480</v>
      </c>
      <c r="F29" s="49" t="n">
        <v>245</v>
      </c>
      <c r="G29" s="49" t="n">
        <v>310</v>
      </c>
      <c r="H29" s="49" t="n">
        <v>510</v>
      </c>
      <c r="I29" s="49" t="n">
        <v>2</v>
      </c>
      <c r="J29" s="51" t="n">
        <v>0.0002</v>
      </c>
      <c r="K29" s="52" t="n">
        <v>7.43</v>
      </c>
      <c r="L29" s="43" t="inlineStr">
        <is>
          <t>SLA合致</t>
        </is>
      </c>
    </row>
    <row r="30" ht="22" customHeight="1">
      <c r="A30" s="13" t="inlineStr">
        <is>
          <t>03_商品一覧検索</t>
        </is>
      </c>
      <c r="B30" s="45" t="n">
        <v>8920</v>
      </c>
      <c r="C30" s="45" t="n">
        <v>215</v>
      </c>
      <c r="D30" s="45" t="n">
        <v>80</v>
      </c>
      <c r="E30" s="46" t="n">
        <v>2150</v>
      </c>
      <c r="F30" s="45" t="n">
        <v>310</v>
      </c>
      <c r="G30" s="45" t="n">
        <v>390</v>
      </c>
      <c r="H30" s="45" t="n">
        <v>680</v>
      </c>
      <c r="I30" s="45" t="n">
        <v>3</v>
      </c>
      <c r="J30" s="47" t="n">
        <v>0.0003</v>
      </c>
      <c r="K30" s="48" t="n">
        <v>7.43</v>
      </c>
      <c r="L30" s="43" t="inlineStr">
        <is>
          <t>SLA合致</t>
        </is>
      </c>
    </row>
    <row r="31" ht="22" customHeight="1">
      <c r="A31" s="16" t="inlineStr">
        <is>
          <t>04_商品詳細・在庫照会</t>
        </is>
      </c>
      <c r="B31" s="49" t="n">
        <v>8920</v>
      </c>
      <c r="C31" s="49" t="n">
        <v>135</v>
      </c>
      <c r="D31" s="49" t="n">
        <v>38</v>
      </c>
      <c r="E31" s="50" t="n">
        <v>890</v>
      </c>
      <c r="F31" s="49" t="n">
        <v>195</v>
      </c>
      <c r="G31" s="49" t="n">
        <v>240</v>
      </c>
      <c r="H31" s="49" t="n">
        <v>360</v>
      </c>
      <c r="I31" s="49" t="n">
        <v>0</v>
      </c>
      <c r="J31" s="51" t="n">
        <v>0</v>
      </c>
      <c r="K31" s="52" t="n">
        <v>7.43</v>
      </c>
      <c r="L31" s="43" t="inlineStr">
        <is>
          <t>SLA合致</t>
        </is>
      </c>
    </row>
    <row r="32" ht="22" customHeight="1">
      <c r="A32" s="13" t="inlineStr">
        <is>
          <t>05_カート投入・更新</t>
        </is>
      </c>
      <c r="B32" s="45" t="n">
        <v>8920</v>
      </c>
      <c r="C32" s="45" t="n">
        <v>192</v>
      </c>
      <c r="D32" s="45" t="n">
        <v>55</v>
      </c>
      <c r="E32" s="46" t="n">
        <v>1620</v>
      </c>
      <c r="F32" s="45" t="n">
        <v>280</v>
      </c>
      <c r="G32" s="45" t="n">
        <v>350</v>
      </c>
      <c r="H32" s="45" t="n">
        <v>540</v>
      </c>
      <c r="I32" s="45" t="n">
        <v>0</v>
      </c>
      <c r="J32" s="47" t="n">
        <v>0</v>
      </c>
      <c r="K32" s="48" t="n">
        <v>7.43</v>
      </c>
      <c r="L32" s="43" t="inlineStr">
        <is>
          <t>SLA合致</t>
        </is>
      </c>
    </row>
    <row r="33" ht="22" customHeight="1">
      <c r="A33" s="16" t="inlineStr">
        <is>
          <t>06_注文決済確定</t>
        </is>
      </c>
      <c r="B33" s="49" t="n">
        <v>8920</v>
      </c>
      <c r="C33" s="49" t="n">
        <v>310</v>
      </c>
      <c r="D33" s="49" t="n">
        <v>110</v>
      </c>
      <c r="E33" s="50" t="n">
        <v>3210</v>
      </c>
      <c r="F33" s="49" t="n">
        <v>480</v>
      </c>
      <c r="G33" s="49" t="n">
        <v>620</v>
      </c>
      <c r="H33" s="49" t="n">
        <v>980</v>
      </c>
      <c r="I33" s="49" t="n">
        <v>8</v>
      </c>
      <c r="J33" s="51" t="n">
        <v>0.0009</v>
      </c>
      <c r="K33" s="52" t="n">
        <v>7.43</v>
      </c>
      <c r="L33" s="43" t="inlineStr">
        <is>
          <t>SLA合致</t>
        </is>
      </c>
    </row>
    <row r="34" ht="22" customHeight="1">
      <c r="A34" s="13" t="inlineStr">
        <is>
          <t>07_マイページ注文履歴</t>
        </is>
      </c>
      <c r="B34" s="45" t="n">
        <v>8960</v>
      </c>
      <c r="C34" s="45" t="n">
        <v>128</v>
      </c>
      <c r="D34" s="45" t="n">
        <v>42</v>
      </c>
      <c r="E34" s="46" t="n">
        <v>780</v>
      </c>
      <c r="F34" s="45" t="n">
        <v>185</v>
      </c>
      <c r="G34" s="45" t="n">
        <v>230</v>
      </c>
      <c r="H34" s="45" t="n">
        <v>320</v>
      </c>
      <c r="I34" s="45" t="n">
        <v>0</v>
      </c>
      <c r="J34" s="47" t="n">
        <v>0</v>
      </c>
      <c r="K34" s="48" t="n">
        <v>7.47</v>
      </c>
      <c r="L34" s="43" t="inlineStr">
        <is>
          <t>SLA合致</t>
        </is>
      </c>
    </row>
    <row r="35" ht="24" customHeight="1">
      <c r="A35" s="53" t="inlineStr">
        <is>
          <t>総合計 / 加重平均 (Total)</t>
        </is>
      </c>
      <c r="B35" s="54">
        <f>SUM(B28:B34)</f>
        <v/>
      </c>
      <c r="C35" s="54">
        <f>AVERAGE(C28:C34)</f>
        <v/>
      </c>
      <c r="D35" s="54">
        <f>MIN(D28:D34)</f>
        <v/>
      </c>
      <c r="E35" s="54">
        <f>MAX(E28:E34)</f>
        <v/>
      </c>
      <c r="F35" s="54">
        <f>AVERAGE(F28:F34)</f>
        <v/>
      </c>
      <c r="G35" s="54">
        <f>AVERAGE(G28:G34)</f>
        <v/>
      </c>
      <c r="H35" s="54">
        <f>AVERAGE(H28:H34)</f>
        <v/>
      </c>
      <c r="I35" s="54">
        <f>SUM(I28:I34)</f>
        <v/>
      </c>
      <c r="J35" s="55">
        <f>I35/B35</f>
        <v/>
      </c>
      <c r="K35" s="56">
        <f>SUM(K28:K34)</f>
        <v/>
      </c>
      <c r="L35" s="57" t="inlineStr">
        <is>
          <t>総合合格</t>
        </is>
      </c>
    </row>
    <row r="37" ht="26" customHeight="1">
      <c r="A37" s="8" t="inlineStr">
        <is>
          <t xml:space="preserve"> ▶ 5. サーバインフラリソース監視データ（CPU・メモリ・IOPS相関）</t>
        </is>
      </c>
    </row>
    <row r="38" ht="24" customHeight="1">
      <c r="A38" s="10" t="inlineStr">
        <is>
          <t>対象サーバ・コンポーネント</t>
        </is>
      </c>
      <c r="B38" s="11" t="n"/>
      <c r="C38" s="10" t="inlineStr">
        <is>
          <t>基本スペック</t>
        </is>
      </c>
      <c r="D38" s="10" t="inlineStr">
        <is>
          <t>平均CPU</t>
        </is>
      </c>
      <c r="E38" s="10" t="inlineStr">
        <is>
          <t>最大CPU</t>
        </is>
      </c>
      <c r="F38" s="10" t="inlineStr">
        <is>
          <t>使用メモリ</t>
        </is>
      </c>
      <c r="G38" s="10" t="inlineStr">
        <is>
          <t>メモリ使用率</t>
        </is>
      </c>
      <c r="H38" s="10" t="inlineStr">
        <is>
          <t>Disk IOPS</t>
        </is>
      </c>
      <c r="I38" s="10" t="inlineStr">
        <is>
          <t>ネットワーク</t>
        </is>
      </c>
      <c r="J38" s="10" t="inlineStr">
        <is>
          <t>インフラ評価コメント</t>
        </is>
      </c>
      <c r="K38" s="11" t="n"/>
      <c r="L38" s="11" t="n"/>
    </row>
    <row r="39" ht="22" customHeight="1">
      <c r="A39" s="13" t="inlineStr">
        <is>
          <t>負荷生成サーバ (JMeter CLI)</t>
        </is>
      </c>
      <c r="B39" s="7" t="n"/>
      <c r="C39" s="14" t="inlineStr">
        <is>
          <t>4 vCPU / 8GB RAM</t>
        </is>
      </c>
      <c r="D39" s="58" t="inlineStr">
        <is>
          <t>18.5%</t>
        </is>
      </c>
      <c r="E39" s="59" t="inlineStr">
        <is>
          <t>34.2%</t>
        </is>
      </c>
      <c r="F39" s="58" t="inlineStr">
        <is>
          <t>2.4 GB</t>
        </is>
      </c>
      <c r="G39" s="58" t="inlineStr">
        <is>
          <t>30.0%</t>
        </is>
      </c>
      <c r="H39" s="58" t="inlineStr">
        <is>
          <t>120</t>
        </is>
      </c>
      <c r="I39" s="58" t="inlineStr">
        <is>
          <t>45 MB/s</t>
        </is>
      </c>
      <c r="J39" s="6" t="inlineStr">
        <is>
          <t>十分な余力あり。クライアント側ボトルネックなし。</t>
        </is>
      </c>
      <c r="K39" s="7" t="n"/>
      <c r="L39" s="7" t="n"/>
    </row>
    <row r="40" ht="22" customHeight="1">
      <c r="A40" s="16" t="inlineStr">
        <is>
          <t>AWS API Gateway / ALB</t>
        </is>
      </c>
      <c r="B40" s="17" t="n"/>
      <c r="C40" s="19" t="inlineStr">
        <is>
          <t>マネージド</t>
        </is>
      </c>
      <c r="D40" s="60" t="inlineStr">
        <is>
          <t>N/A</t>
        </is>
      </c>
      <c r="E40" s="61" t="inlineStr">
        <is>
          <t>N/A</t>
        </is>
      </c>
      <c r="F40" s="60" t="inlineStr">
        <is>
          <t>N/A</t>
        </is>
      </c>
      <c r="G40" s="60" t="inlineStr">
        <is>
          <t>N/A</t>
        </is>
      </c>
      <c r="H40" s="60" t="inlineStr">
        <is>
          <t>N/A</t>
        </is>
      </c>
      <c r="I40" s="60" t="inlineStr">
        <is>
          <t>180 MB/s</t>
        </is>
      </c>
      <c r="J40" s="18" t="inlineStr">
        <is>
          <t>レイテンシ増大なし、504タイムアウト極小。</t>
        </is>
      </c>
      <c r="K40" s="17" t="n"/>
      <c r="L40" s="17" t="n"/>
    </row>
    <row r="41" ht="22" customHeight="1">
      <c r="A41" s="13" t="inlineStr">
        <is>
          <t>APサーバ (マイクロサービス群)</t>
        </is>
      </c>
      <c r="B41" s="7" t="n"/>
      <c r="C41" s="14" t="inlineStr">
        <is>
          <t>8 vCPU / 16GB RAM</t>
        </is>
      </c>
      <c r="D41" s="58" t="inlineStr">
        <is>
          <t>42.8%</t>
        </is>
      </c>
      <c r="E41" s="59" t="inlineStr">
        <is>
          <t>68.5%</t>
        </is>
      </c>
      <c r="F41" s="58" t="inlineStr">
        <is>
          <t>8.2 GB</t>
        </is>
      </c>
      <c r="G41" s="58" t="inlineStr">
        <is>
          <t>51.2%</t>
        </is>
      </c>
      <c r="H41" s="58" t="inlineStr">
        <is>
          <t>850</t>
        </is>
      </c>
      <c r="I41" s="58" t="inlineStr">
        <is>
          <t>95 MB/s</t>
        </is>
      </c>
      <c r="J41" s="6" t="inlineStr">
        <is>
          <t>CPU使用率70%未満で健全に稼働。</t>
        </is>
      </c>
      <c r="K41" s="7" t="n"/>
      <c r="L41" s="7" t="n"/>
    </row>
    <row r="42" ht="22" customHeight="1">
      <c r="A42" s="16" t="inlineStr">
        <is>
          <t>DBサーバ (Amazon Aurora MySQL)</t>
        </is>
      </c>
      <c r="B42" s="17" t="n"/>
      <c r="C42" s="19" t="inlineStr">
        <is>
          <t>db.r6g.2xlarge (8vCPU/64GB)</t>
        </is>
      </c>
      <c r="D42" s="60" t="inlineStr">
        <is>
          <t>32.1%</t>
        </is>
      </c>
      <c r="E42" s="61" t="inlineStr">
        <is>
          <t>54.0%</t>
        </is>
      </c>
      <c r="F42" s="60" t="inlineStr">
        <is>
          <t>28.5 GB</t>
        </is>
      </c>
      <c r="G42" s="60" t="inlineStr">
        <is>
          <t>44.5%</t>
        </is>
      </c>
      <c r="H42" s="60" t="inlineStr">
        <is>
          <t>2,400</t>
        </is>
      </c>
      <c r="I42" s="60" t="inlineStr">
        <is>
          <t>30 MB/s</t>
        </is>
      </c>
      <c r="J42" s="18" t="inlineStr">
        <is>
          <t>コネクションプール(Max 100)枯渇なし、デッドロックなし。</t>
        </is>
      </c>
      <c r="K42" s="17" t="n"/>
      <c r="L42" s="17" t="n"/>
    </row>
    <row r="44" ht="26" customHeight="1">
      <c r="A44" s="8" t="inlineStr">
        <is>
          <t xml:space="preserve"> ▶ 6. エラー分析・発生事象と根本原因・恒久対策 (Error Log Analysis)</t>
        </is>
      </c>
    </row>
    <row r="45" ht="24" customHeight="1">
      <c r="A45" s="10" t="inlineStr">
        <is>
          <t>発生時刻</t>
        </is>
      </c>
      <c r="B45" s="11" t="n"/>
      <c r="C45" s="10" t="inlineStr">
        <is>
          <t>対象トランザクション</t>
        </is>
      </c>
      <c r="D45" s="11" t="n"/>
      <c r="E45" s="10" t="inlineStr">
        <is>
          <t>HTTPコード / エラー種別</t>
        </is>
      </c>
      <c r="F45" s="11" t="n"/>
      <c r="G45" s="10" t="inlineStr">
        <is>
          <t>件数</t>
        </is>
      </c>
      <c r="H45" s="10" t="inlineStr">
        <is>
          <t>根本原因 (Root Cause)</t>
        </is>
      </c>
      <c r="I45" s="11" t="n"/>
      <c r="J45" s="10" t="inlineStr">
        <is>
          <t>恒久対策 / 是正措置</t>
        </is>
      </c>
      <c r="K45" s="11" t="n"/>
      <c r="L45" s="11" t="n"/>
    </row>
    <row r="46" ht="36" customHeight="1">
      <c r="A46" s="30" t="inlineStr">
        <is>
          <t>2026/10/04 14:08:12</t>
        </is>
      </c>
      <c r="B46" s="7" t="n"/>
      <c r="C46" s="13" t="inlineStr">
        <is>
          <t>06_注文決済確定</t>
        </is>
      </c>
      <c r="D46" s="7" t="n"/>
      <c r="E46" s="62" t="inlineStr">
        <is>
          <t>HTTP 504 Gateway Timeout</t>
        </is>
      </c>
      <c r="F46" s="7" t="n"/>
      <c r="G46" s="59" t="n">
        <v>8</v>
      </c>
      <c r="H46" s="6" t="inlineStr">
        <is>
          <t>決済サービス外部連携モックAPIの応答遅延 (タイムアウト3秒設定)</t>
        </is>
      </c>
      <c r="I46" s="7" t="n"/>
      <c r="J46" s="6" t="inlineStr">
        <is>
          <t>外部決済APIクライアントのタイムアウト値を5秒に調整し、指数バックオフ付きリトライ機構を実装。</t>
        </is>
      </c>
      <c r="K46" s="7" t="n"/>
      <c r="L46" s="7" t="n"/>
    </row>
    <row r="47" ht="36" customHeight="1">
      <c r="A47" s="31" t="inlineStr">
        <is>
          <t>2026/10/04 14:12:45</t>
        </is>
      </c>
      <c r="B47" s="17" t="n"/>
      <c r="C47" s="16" t="inlineStr">
        <is>
          <t>03_商品一覧検索</t>
        </is>
      </c>
      <c r="D47" s="17" t="n"/>
      <c r="E47" s="63" t="inlineStr">
        <is>
          <t>HTTP 500 Internal Error</t>
        </is>
      </c>
      <c r="F47" s="17" t="n"/>
      <c r="G47" s="61" t="n">
        <v>3</v>
      </c>
      <c r="H47" s="18" t="inlineStr">
        <is>
          <t>同時アクセス集中時のDBコネクションプール一時的枯渇 (Max: 50到達)</t>
        </is>
      </c>
      <c r="I47" s="17" t="n"/>
      <c r="J47" s="18" t="inlineStr">
        <is>
          <t>HikariCPコネクションプールの上限を50から100へ引き上げ、アイドルコネクション回収をチューニング。</t>
        </is>
      </c>
      <c r="K47" s="17" t="n"/>
      <c r="L47" s="17" t="n"/>
    </row>
    <row r="48" ht="36" customHeight="1">
      <c r="A48" s="30" t="inlineStr">
        <is>
          <t>2026/10/04 14:15:30</t>
        </is>
      </c>
      <c r="B48" s="7" t="n"/>
      <c r="C48" s="13" t="inlineStr">
        <is>
          <t>02_APIGW_CallResource</t>
        </is>
      </c>
      <c r="D48" s="7" t="n"/>
      <c r="E48" s="62" t="inlineStr">
        <is>
          <t>HTTP 401 Unauthorized</t>
        </is>
      </c>
      <c r="F48" s="7" t="n"/>
      <c r="G48" s="59" t="n">
        <v>2</v>
      </c>
      <c r="H48" s="6" t="inlineStr">
        <is>
          <t>Cognitoアクセストークンの有効期限失効 (1時間経過)</t>
        </is>
      </c>
      <c r="I48" s="7" t="n"/>
      <c r="J48" s="6" t="inlineStr">
        <is>
          <t>トークン失効直前に自動リフレッシュするPreProcessorスクリプトをシナリオに追加。</t>
        </is>
      </c>
      <c r="K48" s="7" t="n"/>
      <c r="L48" s="7" t="n"/>
    </row>
    <row r="50" ht="26" customHeight="1">
      <c r="A50" s="8" t="inlineStr">
        <is>
          <t xml:space="preserve"> ▶ 7. レポート貼付用グラフ・ダッシュボード証跡エリア</t>
        </is>
      </c>
    </row>
    <row r="51">
      <c r="A51" s="20" t="inlineStr">
        <is>
          <t>【画像・スクリーンショット貼付エリア】
● 対象: 応答時間パーセンタイル推移グラフ (Response Time Percentiles)
● 内容: JMeter HTMLレポートまたはExcelで作成した、各トランザクションの90%/95%/99%パーセンタイル応答時間グラフ
● 推奨サイズ: 幅800px × 高さ450px (16:9)
※ 貼付方法: Excel上部「挿入」リボン →「図」→「画像」→「このデバイス...」で画像を挿入し、この枠内にサイズ調整して配置してください。</t>
        </is>
      </c>
      <c r="B51" s="21" t="n"/>
      <c r="C51" s="21" t="n"/>
      <c r="D51" s="21" t="n"/>
      <c r="E51" s="21" t="n"/>
      <c r="F51" s="22" t="n"/>
      <c r="G51" s="20" t="inlineStr">
        <is>
          <t>【画像・スクリーンショット貼付エリア】
● 対象: スループット (TPS) &amp; アクティブスレッド推移グラフ
● 内容: 時間経過に伴うスループット (Throughput) と同時実行スレッド数の推移を重ね合わせたグラフ
● 推奨サイズ: 幅800px × 高さ450px (16:9)
※ 貼付方法: Excel上部「挿入」リボン →「図」→「画像」→「このデバイス...」で画像を挿入し、この枠内にサイズ調整して配置してください。</t>
        </is>
      </c>
      <c r="H51" s="21" t="n"/>
      <c r="I51" s="21" t="n"/>
      <c r="J51" s="21" t="n"/>
      <c r="K51" s="21" t="n"/>
      <c r="L51" s="22" t="n"/>
    </row>
    <row r="52">
      <c r="A52" s="23" t="n"/>
      <c r="F52" s="24" t="n"/>
      <c r="G52" s="23" t="n"/>
      <c r="L52" s="24" t="n"/>
    </row>
    <row r="53">
      <c r="A53" s="23" t="n"/>
      <c r="F53" s="24" t="n"/>
      <c r="G53" s="23" t="n"/>
      <c r="L53" s="24" t="n"/>
    </row>
    <row r="54">
      <c r="A54" s="23" t="n"/>
      <c r="F54" s="24" t="n"/>
      <c r="G54" s="23" t="n"/>
      <c r="L54" s="24" t="n"/>
    </row>
    <row r="55">
      <c r="A55" s="23" t="n"/>
      <c r="F55" s="24" t="n"/>
      <c r="G55" s="23" t="n"/>
      <c r="L55" s="24" t="n"/>
    </row>
    <row r="56">
      <c r="A56" s="23" t="n"/>
      <c r="F56" s="24" t="n"/>
      <c r="G56" s="23" t="n"/>
      <c r="L56" s="24" t="n"/>
    </row>
    <row r="57">
      <c r="A57" s="23" t="n"/>
      <c r="F57" s="24" t="n"/>
      <c r="G57" s="23" t="n"/>
      <c r="L57" s="24" t="n"/>
    </row>
    <row r="58">
      <c r="A58" s="23" t="n"/>
      <c r="F58" s="24" t="n"/>
      <c r="G58" s="23" t="n"/>
      <c r="L58" s="24" t="n"/>
    </row>
    <row r="59">
      <c r="A59" s="23" t="n"/>
      <c r="F59" s="24" t="n"/>
      <c r="G59" s="23" t="n"/>
      <c r="L59" s="24" t="n"/>
    </row>
    <row r="60">
      <c r="A60" s="23" t="n"/>
      <c r="F60" s="24" t="n"/>
      <c r="G60" s="23" t="n"/>
      <c r="L60" s="24" t="n"/>
    </row>
    <row r="61">
      <c r="A61" s="25" t="n"/>
      <c r="B61" s="26" t="n"/>
      <c r="C61" s="26" t="n"/>
      <c r="D61" s="26" t="n"/>
      <c r="E61" s="26" t="n"/>
      <c r="F61" s="27" t="n"/>
      <c r="G61" s="25" t="n"/>
      <c r="H61" s="26" t="n"/>
      <c r="I61" s="26" t="n"/>
      <c r="J61" s="26" t="n"/>
      <c r="K61" s="26" t="n"/>
      <c r="L61" s="27" t="n"/>
    </row>
    <row r="62">
      <c r="A62" s="20" t="inlineStr">
        <is>
          <t>【画像・スクリーンショット貼付エリア】
● 対象: サーバインフラ監視ダッシュボード (Grafana / CloudWatch / Datadog)
● 内容: Web/AP/DBサーバのCPU使用率、メモリ推移、DBコネクション数、ネットワークIOの総合監視ダッシュボードキャプチャ
● 推奨サイズ: 幅800px × 高さ450px (16:9)
※ 貼付方法: Excel上部「挿入」リボン →「図」→「画像」→「このデバイス...」で画像を挿入し、この枠内にサイズ調整して配置してください。</t>
        </is>
      </c>
      <c r="B62" s="21" t="n"/>
      <c r="C62" s="21" t="n"/>
      <c r="D62" s="21" t="n"/>
      <c r="E62" s="21" t="n"/>
      <c r="F62" s="21" t="n"/>
      <c r="G62" s="21" t="n"/>
      <c r="H62" s="21" t="n"/>
      <c r="I62" s="21" t="n"/>
      <c r="J62" s="21" t="n"/>
      <c r="K62" s="21" t="n"/>
      <c r="L62" s="22" t="n"/>
    </row>
    <row r="63">
      <c r="A63" s="23" t="n"/>
      <c r="L63" s="24" t="n"/>
    </row>
    <row r="64">
      <c r="A64" s="23" t="n"/>
      <c r="L64" s="24" t="n"/>
    </row>
    <row r="65">
      <c r="A65" s="23" t="n"/>
      <c r="L65" s="24" t="n"/>
    </row>
    <row r="66">
      <c r="A66" s="23" t="n"/>
      <c r="L66" s="24" t="n"/>
    </row>
    <row r="67">
      <c r="A67" s="23" t="n"/>
      <c r="L67" s="24" t="n"/>
    </row>
    <row r="68">
      <c r="A68" s="23" t="n"/>
      <c r="L68" s="24" t="n"/>
    </row>
    <row r="69">
      <c r="A69" s="23" t="n"/>
      <c r="L69" s="24" t="n"/>
    </row>
    <row r="70">
      <c r="A70" s="23" t="n"/>
      <c r="L70" s="24" t="n"/>
    </row>
    <row r="71">
      <c r="A71" s="23" t="n"/>
      <c r="L71" s="24" t="n"/>
    </row>
    <row r="72">
      <c r="A72" s="25" t="n"/>
      <c r="B72" s="26" t="n"/>
      <c r="C72" s="26" t="n"/>
      <c r="D72" s="26" t="n"/>
      <c r="E72" s="26" t="n"/>
      <c r="F72" s="26" t="n"/>
      <c r="G72" s="26" t="n"/>
      <c r="H72" s="26" t="n"/>
      <c r="I72" s="26" t="n"/>
      <c r="J72" s="26" t="n"/>
      <c r="K72" s="26" t="n"/>
      <c r="L72" s="27" t="n"/>
    </row>
  </sheetData>
  <mergeCells count="111">
    <mergeCell ref="D20:E20"/>
    <mergeCell ref="A15:B15"/>
    <mergeCell ref="C15:D15"/>
    <mergeCell ref="A37:L37"/>
    <mergeCell ref="A21:C21"/>
    <mergeCell ref="D22:E22"/>
    <mergeCell ref="A26:L26"/>
    <mergeCell ref="A51:F61"/>
    <mergeCell ref="A7:B7"/>
    <mergeCell ref="I16:J16"/>
    <mergeCell ref="A23:C23"/>
    <mergeCell ref="A41:B41"/>
    <mergeCell ref="C6:F6"/>
    <mergeCell ref="J46:L46"/>
    <mergeCell ref="H45:I45"/>
    <mergeCell ref="F23:G23"/>
    <mergeCell ref="A42:B42"/>
    <mergeCell ref="J39:L39"/>
    <mergeCell ref="J48:L48"/>
    <mergeCell ref="J38:L38"/>
    <mergeCell ref="D24:E24"/>
    <mergeCell ref="H23:I23"/>
    <mergeCell ref="G51:L61"/>
    <mergeCell ref="J40:L40"/>
    <mergeCell ref="A9:B9"/>
    <mergeCell ref="A39:B39"/>
    <mergeCell ref="A48:B48"/>
    <mergeCell ref="J24:L24"/>
    <mergeCell ref="I15:J15"/>
    <mergeCell ref="D19:E19"/>
    <mergeCell ref="K15:L15"/>
    <mergeCell ref="F19:G19"/>
    <mergeCell ref="A45:B45"/>
    <mergeCell ref="C14:D14"/>
    <mergeCell ref="C45:D45"/>
    <mergeCell ref="E14:F14"/>
    <mergeCell ref="E48:F48"/>
    <mergeCell ref="A12:L12"/>
    <mergeCell ref="J41:L41"/>
    <mergeCell ref="C47:D47"/>
    <mergeCell ref="G7:H7"/>
    <mergeCell ref="F20:G20"/>
    <mergeCell ref="A46:B46"/>
    <mergeCell ref="I6:L6"/>
    <mergeCell ref="C5:F5"/>
    <mergeCell ref="A4:L4"/>
    <mergeCell ref="J42:L42"/>
    <mergeCell ref="H19:I19"/>
    <mergeCell ref="I7:L7"/>
    <mergeCell ref="A8:B8"/>
    <mergeCell ref="A24:C24"/>
    <mergeCell ref="E16:F16"/>
    <mergeCell ref="G16:H16"/>
    <mergeCell ref="H48:I48"/>
    <mergeCell ref="D23:E23"/>
    <mergeCell ref="G9:H9"/>
    <mergeCell ref="K16:L16"/>
    <mergeCell ref="C8:F8"/>
    <mergeCell ref="A62:L72"/>
    <mergeCell ref="A18:L18"/>
    <mergeCell ref="A50:L50"/>
    <mergeCell ref="F21:G21"/>
    <mergeCell ref="A2:L2"/>
    <mergeCell ref="H21:I21"/>
    <mergeCell ref="I9:L9"/>
    <mergeCell ref="A22:C22"/>
    <mergeCell ref="J47:L47"/>
    <mergeCell ref="A20:C20"/>
    <mergeCell ref="C46:D46"/>
    <mergeCell ref="E15:F15"/>
    <mergeCell ref="E46:F46"/>
    <mergeCell ref="G15:H15"/>
    <mergeCell ref="A5:B5"/>
    <mergeCell ref="A44:L44"/>
    <mergeCell ref="A14:B14"/>
    <mergeCell ref="F22:G22"/>
    <mergeCell ref="H22:I22"/>
    <mergeCell ref="C48:D48"/>
    <mergeCell ref="A38:B38"/>
    <mergeCell ref="J19:L19"/>
    <mergeCell ref="A40:B40"/>
    <mergeCell ref="H20:I20"/>
    <mergeCell ref="I8:L8"/>
    <mergeCell ref="J45:L45"/>
    <mergeCell ref="C7:F7"/>
    <mergeCell ref="J20:L20"/>
    <mergeCell ref="G8:H8"/>
    <mergeCell ref="A6:B6"/>
    <mergeCell ref="D21:E21"/>
    <mergeCell ref="A16:B16"/>
    <mergeCell ref="F24:G24"/>
    <mergeCell ref="C16:D16"/>
    <mergeCell ref="H46:I46"/>
    <mergeCell ref="J22:L22"/>
    <mergeCell ref="G6:H6"/>
    <mergeCell ref="J21:L21"/>
    <mergeCell ref="A19:C19"/>
    <mergeCell ref="A47:B47"/>
    <mergeCell ref="G5:H5"/>
    <mergeCell ref="J23:L23"/>
    <mergeCell ref="E45:F45"/>
    <mergeCell ref="G14:H14"/>
    <mergeCell ref="I14:J14"/>
    <mergeCell ref="H47:I47"/>
    <mergeCell ref="K14:L14"/>
    <mergeCell ref="C9:F9"/>
    <mergeCell ref="A11:L11"/>
    <mergeCell ref="H24:I24"/>
    <mergeCell ref="A1:L1"/>
    <mergeCell ref="E47:F47"/>
    <mergeCell ref="I5:L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
  <sheetViews>
    <sheetView showGridLines="1" workbookViewId="0">
      <selection activeCell="A1" sqref="A1"/>
    </sheetView>
  </sheetViews>
  <sheetFormatPr baseColWidth="8" defaultRowHeight="15"/>
  <cols>
    <col width="8" customWidth="1" min="1" max="1"/>
    <col width="14" customWidth="1" min="2" max="2"/>
    <col width="14" customWidth="1" min="3" max="3"/>
    <col width="16" customWidth="1" min="4" max="4"/>
    <col width="18" customWidth="1" min="5" max="5"/>
    <col width="18" customWidth="1" min="6" max="6"/>
    <col width="18" customWidth="1" min="7" max="7"/>
    <col width="18" customWidth="1" min="8" max="8"/>
    <col width="18" customWidth="1" min="9" max="9"/>
    <col width="12" customWidth="1" min="10" max="10"/>
  </cols>
  <sheetData>
    <row r="1" ht="36" customHeight="1">
      <c r="A1" s="1" t="inlineStr">
        <is>
          <t xml:space="preserve"> 08. 負荷テスト現場の確認観点・陥りやすい落とし穴チェックリスト</t>
        </is>
      </c>
    </row>
    <row r="2" ht="22" customHeight="1">
      <c r="A2" s="2" t="inlineStr">
        <is>
          <t xml:space="preserve">  ■ シナリオ設計・JMeter実行・Linux基盤・データ分析時のプロのチェック項目完全網羅</t>
        </is>
      </c>
    </row>
    <row r="4" ht="26" customHeight="1">
      <c r="A4" s="8" t="inlineStr">
        <is>
          <t xml:space="preserve"> ▶ 1. 負荷テスト実施前・実施中・分析時の重要確認項目チェックリスト</t>
        </is>
      </c>
    </row>
    <row r="5" ht="24" customHeight="1">
      <c r="A5" s="10" t="inlineStr">
        <is>
          <t>カテゴリ</t>
        </is>
      </c>
      <c r="B5" s="11" t="n"/>
      <c r="C5" s="10" t="inlineStr">
        <is>
          <t>確認項目 (観点)</t>
        </is>
      </c>
      <c r="D5" s="11" t="n"/>
      <c r="E5" s="10" t="inlineStr">
        <is>
          <t>具体的な確認内容</t>
        </is>
      </c>
      <c r="F5" s="11" t="n"/>
      <c r="G5" s="11" t="n"/>
      <c r="H5" s="10" t="inlineStr">
        <is>
          <t>怠った場合に発生する重大トラブル・リスク</t>
        </is>
      </c>
      <c r="I5" s="11" t="n"/>
      <c r="J5" s="10" t="inlineStr">
        <is>
          <t>重要度</t>
        </is>
      </c>
    </row>
    <row r="6" ht="42" customHeight="1">
      <c r="A6" s="12" t="inlineStr">
        <is>
          <t>シナリオ設計</t>
        </is>
      </c>
      <c r="B6" s="7" t="n"/>
      <c r="C6" s="13" t="inlineStr">
        <is>
          <t>思考時間 (Think Time) の設定</t>
        </is>
      </c>
      <c r="D6" s="7" t="n"/>
      <c r="E6" s="6" t="inlineStr">
        <is>
          <t>リクエスト間に Uniform Random Timer 等で現実的な待機時間 (1〜3秒等) を設けているか？</t>
        </is>
      </c>
      <c r="F6" s="7" t="n"/>
      <c r="G6" s="7" t="n"/>
      <c r="H6" s="6" t="inlineStr">
        <is>
          <t>タイマーがない場合、実ユーザーの数万倍の負荷が局所集中し、非現実的なDDOS攻撃テストになってしまう。</t>
        </is>
      </c>
      <c r="I6" s="7" t="n"/>
      <c r="J6" s="28" t="inlineStr">
        <is>
          <t>必須</t>
        </is>
      </c>
    </row>
    <row r="7" ht="42" customHeight="1">
      <c r="A7" s="15" t="inlineStr">
        <is>
          <t>シナリオ設計</t>
        </is>
      </c>
      <c r="B7" s="17" t="n"/>
      <c r="C7" s="16" t="inlineStr">
        <is>
          <t>Cookieとキャッシュの適切な設定</t>
        </is>
      </c>
      <c r="D7" s="17" t="n"/>
      <c r="E7" s="18" t="inlineStr">
        <is>
          <t>HTTP Cookie Manager を配置し、Webブラウザと同等のセッション維持・キャッシュシミュレーションを行っているか？</t>
        </is>
      </c>
      <c r="F7" s="17" t="n"/>
      <c r="G7" s="17" t="n"/>
      <c r="H7" s="18" t="inlineStr">
        <is>
          <t>Cookieがないとセッションが維持できずログイン後の画面でエラー多発、または毎回新規セッション生成でAP負荷が異常増大する。</t>
        </is>
      </c>
      <c r="I7" s="17" t="n"/>
      <c r="J7" s="28" t="inlineStr">
        <is>
          <t>必須</t>
        </is>
      </c>
    </row>
    <row r="8" ht="42" customHeight="1">
      <c r="A8" s="12" t="inlineStr">
        <is>
          <t>シナリオ設計</t>
        </is>
      </c>
      <c r="B8" s="7" t="n"/>
      <c r="C8" s="13" t="inlineStr">
        <is>
          <t>パラメータの多重化・CSV活用</t>
        </is>
      </c>
      <c r="D8" s="7" t="n"/>
      <c r="E8" s="6" t="inlineStr">
        <is>
          <t>CSV Data Set Config を利用して、複数ユーザーのID/PASSや検索語を動的に変えているか？</t>
        </is>
      </c>
      <c r="F8" s="7" t="n"/>
      <c r="G8" s="7" t="n"/>
      <c r="H8" s="6" t="inlineStr">
        <is>
          <t>同一アカウント・同一IDで大量リクエストを送ると、DBの行ロック競合やアプリケーションの二重処理防止機能で不当にエラーになる。</t>
        </is>
      </c>
      <c r="I8" s="7" t="n"/>
      <c r="J8" s="28" t="inlineStr">
        <is>
          <t>必須</t>
        </is>
      </c>
    </row>
    <row r="9" ht="42" customHeight="1">
      <c r="A9" s="15" t="inlineStr">
        <is>
          <t>シナリオ設計</t>
        </is>
      </c>
      <c r="B9" s="17" t="n"/>
      <c r="C9" s="16" t="inlineStr">
        <is>
          <t>段階的ランプアップの設定</t>
        </is>
      </c>
      <c r="D9" s="17" t="n"/>
      <c r="E9" s="18" t="inlineStr">
        <is>
          <t>Ramp-up時間を十分に確保し、0秒から目標スレッド数まで徐々にアクセスを増加させているか？</t>
        </is>
      </c>
      <c r="F9" s="17" t="n"/>
      <c r="G9" s="17" t="n"/>
      <c r="H9" s="18" t="inlineStr">
        <is>
          <t>ランプアップ0秒で全スレッドを一斉起動すると、TCPコネクション確立やTLSハンドシェイクが瞬間飽和し、偽りのタイムアウトが発生する。</t>
        </is>
      </c>
      <c r="I9" s="17" t="n"/>
      <c r="J9" s="64" t="inlineStr">
        <is>
          <t>強く推奨</t>
        </is>
      </c>
    </row>
    <row r="10" ht="42" customHeight="1">
      <c r="A10" s="12" t="inlineStr">
        <is>
          <t>JMeterクライアント</t>
        </is>
      </c>
      <c r="B10" s="7" t="n"/>
      <c r="C10" s="13" t="inlineStr">
        <is>
          <t>GUI実行の完全排除 (Non-GUI厳禁則)</t>
        </is>
      </c>
      <c r="D10" s="7" t="n"/>
      <c r="E10" s="6" t="inlineStr">
        <is>
          <t>負荷テスト本番を必ずCLI (jmeter -n) で実行し、GUI画面から負荷をかけていないか？</t>
        </is>
      </c>
      <c r="F10" s="7" t="n"/>
      <c r="G10" s="7" t="n"/>
      <c r="H10" s="6" t="inlineStr">
        <is>
          <t>GUI実行はSwing描画スレッドがCPUを食いつぶし、JMeter自体がボトルネック化して正確なサーバ性能が測定できなくなる。</t>
        </is>
      </c>
      <c r="I10" s="7" t="n"/>
      <c r="J10" s="28" t="inlineStr">
        <is>
          <t>絶対厳守</t>
        </is>
      </c>
    </row>
    <row r="11" ht="42" customHeight="1">
      <c r="A11" s="15" t="inlineStr">
        <is>
          <t>JMeterクライアント</t>
        </is>
      </c>
      <c r="B11" s="17" t="n"/>
      <c r="C11" s="16" t="inlineStr">
        <is>
          <t>高負荷リスナーの無効化・削除</t>
        </is>
      </c>
      <c r="D11" s="17" t="n"/>
      <c r="E11" s="18" t="inlineStr">
        <is>
          <t>View Results Tree (結果をツリーで表示) 等の重いリスナーをJMXから削除または無効化しているか？</t>
        </is>
      </c>
      <c r="F11" s="17" t="n"/>
      <c r="G11" s="17" t="n"/>
      <c r="H11" s="18" t="inlineStr">
        <is>
          <t>View Results Treeが有効なままだと全リクエスト/レスポンスをメモリに溜め込み、JMeterが数分でOutOfMemoryError (OOM) 停止する。</t>
        </is>
      </c>
      <c r="I11" s="17" t="n"/>
      <c r="J11" s="28" t="inlineStr">
        <is>
          <t>絶対厳守</t>
        </is>
      </c>
    </row>
    <row r="12" ht="42" customHeight="1">
      <c r="A12" s="12" t="inlineStr">
        <is>
          <t>JMeterクライアント</t>
        </is>
      </c>
      <c r="B12" s="7" t="n"/>
      <c r="C12" s="13" t="inlineStr">
        <is>
          <t>JVMヒープメモリの適正配分</t>
        </is>
      </c>
      <c r="D12" s="7" t="n"/>
      <c r="E12" s="6" t="inlineStr">
        <is>
          <t>setenv.bat / setenv.sh で -Xms と -Xmx を同じ値にし、実メモリの50〜70%を割り当てているか？</t>
        </is>
      </c>
      <c r="F12" s="7" t="n"/>
      <c r="G12" s="7" t="n"/>
      <c r="H12" s="6" t="inlineStr">
        <is>
          <t>ヒープ不足は頻繁なFull GC (Stop The World) を引き起こし、JMeter側の停止によって見かけ上のレスポンス遅延やコネクション断が発生する。</t>
        </is>
      </c>
      <c r="I12" s="7" t="n"/>
      <c r="J12" s="28" t="inlineStr">
        <is>
          <t>必須</t>
        </is>
      </c>
    </row>
    <row r="13" ht="42" customHeight="1">
      <c r="A13" s="15" t="inlineStr">
        <is>
          <t>JMeterクライアント</t>
        </is>
      </c>
      <c r="B13" s="17" t="n"/>
      <c r="C13" s="16" t="inlineStr">
        <is>
          <t>TCP Keep-Alive の設定整合性</t>
        </is>
      </c>
      <c r="D13" s="17" t="n"/>
      <c r="E13" s="18" t="inlineStr">
        <is>
          <t>HTTP Request Defaults で「Use Keep-Alive」が有効になっているか？ (システム要件に準拠)</t>
        </is>
      </c>
      <c r="F13" s="17" t="n"/>
      <c r="G13" s="17" t="n"/>
      <c r="H13" s="18" t="inlineStr">
        <is>
          <t>Keep-Aliveが無効だとリクエストごとにTCP 3-wayハンドシェイクが発生し、TIME_WAITソケットの急増とポート枯渇を招く。</t>
        </is>
      </c>
      <c r="I13" s="17" t="n"/>
      <c r="J13" s="28" t="inlineStr">
        <is>
          <t>必須</t>
        </is>
      </c>
    </row>
    <row r="14" ht="42" customHeight="1">
      <c r="A14" s="12" t="inlineStr">
        <is>
          <t>Linux実行環境</t>
        </is>
      </c>
      <c r="B14" s="7" t="n"/>
      <c r="C14" s="13" t="inlineStr">
        <is>
          <t>ファイルディスクリプタ上限 (ulimit)</t>
        </is>
      </c>
      <c r="D14" s="7" t="n"/>
      <c r="E14" s="6" t="inlineStr">
        <is>
          <t>OSの ulimit -n が 65535 等の十分な値に拡張されているか？ (デフォルト1024のままになっていないか)</t>
        </is>
      </c>
      <c r="F14" s="7" t="n"/>
      <c r="G14" s="7" t="n"/>
      <c r="H14" s="6" t="inlineStr">
        <is>
          <t>スレッド数やコネクション数が増加した際、「java.io.IOException: Too many open files」エラーで全通信が即死する。</t>
        </is>
      </c>
      <c r="I14" s="7" t="n"/>
      <c r="J14" s="28" t="inlineStr">
        <is>
          <t>必須</t>
        </is>
      </c>
    </row>
    <row r="15" ht="42" customHeight="1">
      <c r="A15" s="15" t="inlineStr">
        <is>
          <t>Linux実行環境</t>
        </is>
      </c>
      <c r="B15" s="17" t="n"/>
      <c r="C15" s="16" t="inlineStr">
        <is>
          <t>エフェメラルポート枯渇対策</t>
        </is>
      </c>
      <c r="D15" s="17" t="n"/>
      <c r="E15" s="18" t="inlineStr">
        <is>
          <t>net.ipv4.ip_local_port_range の拡張および net.ipv4.tcp_tw_reuse = 1 が設定されているか？</t>
        </is>
      </c>
      <c r="F15" s="17" t="n"/>
      <c r="G15" s="17" t="n"/>
      <c r="H15" s="18" t="inlineStr">
        <is>
          <t>短時間に大量の接続・切断が発生するとポートが枯渇し、「Cannot assign requested address」エラーが発生する。</t>
        </is>
      </c>
      <c r="I15" s="17" t="n"/>
      <c r="J15" s="28" t="inlineStr">
        <is>
          <t>必須</t>
        </is>
      </c>
    </row>
    <row r="16" ht="42" customHeight="1">
      <c r="A16" s="12" t="inlineStr">
        <is>
          <t>測定・データ分析</t>
        </is>
      </c>
      <c r="B16" s="7" t="n"/>
      <c r="C16" s="13" t="inlineStr">
        <is>
          <t>Coordinated Omission (協調的脱落) の理解</t>
        </is>
      </c>
      <c r="D16" s="7" t="n"/>
      <c r="E16" s="6" t="inlineStr">
        <is>
          <t>サーバが一時的に遅延した際、JMeterのスレッドがブロックされてリクエスト送信数が減弾していないか？</t>
        </is>
      </c>
      <c r="F16" s="7" t="n"/>
      <c r="G16" s="7" t="n"/>
      <c r="H16" s="6" t="inlineStr">
        <is>
          <t>JMeterの標準スレッドは前リクエストの完了を待って次を送るため、サーバ遅延時に送信レートが落ち、見かけ上エラーが減る錯覚が起きる。</t>
        </is>
      </c>
      <c r="I16" s="7" t="n"/>
      <c r="J16" s="64" t="inlineStr">
        <is>
          <t>重要観点</t>
        </is>
      </c>
    </row>
    <row r="17" ht="42" customHeight="1">
      <c r="A17" s="15" t="inlineStr">
        <is>
          <t>測定・データ分析</t>
        </is>
      </c>
      <c r="B17" s="17" t="n"/>
      <c r="C17" s="16" t="inlineStr">
        <is>
          <t>助走期間 (ウォームアップ) の除外</t>
        </is>
      </c>
      <c r="D17" s="17" t="n"/>
      <c r="E17" s="18" t="inlineStr">
        <is>
          <t>テスト開始直後の初回接続・JITコンパイル・キャッシュ未暖気区間を分析データから切り離しているか？</t>
        </is>
      </c>
      <c r="F17" s="17" t="n"/>
      <c r="G17" s="17" t="n"/>
      <c r="H17" s="18" t="inlineStr">
        <is>
          <t>起動直後の初回トランザクションは極端に遅いため、定常状態のSLA評価に混入させるとデータが歪む。</t>
        </is>
      </c>
      <c r="I17" s="17" t="n"/>
      <c r="J17" s="64" t="inlineStr">
        <is>
          <t>強く推奨</t>
        </is>
      </c>
    </row>
    <row r="18" ht="42" customHeight="1">
      <c r="A18" s="12" t="inlineStr">
        <is>
          <t>測定・データ分析</t>
        </is>
      </c>
      <c r="B18" s="7" t="n"/>
      <c r="C18" s="13" t="inlineStr">
        <is>
          <t>平均値の罠 (パーセンタイル重視の評価)</t>
        </is>
      </c>
      <c r="D18" s="7" t="n"/>
      <c r="E18" s="6" t="inlineStr">
        <is>
          <t>平均値 (Average) だけで合否判定せず、90%ile / 95%ile / 99%ile の推移を分析しているか？</t>
        </is>
      </c>
      <c r="F18" s="7" t="n"/>
      <c r="G18" s="7" t="n"/>
      <c r="H18" s="6" t="inlineStr">
        <is>
          <t>平均値は少数の極端なロングテール遅延を隠蔽するため、「平均200msだが1%のユーザーは10秒待たされている」深刻な劣化を見落とす。</t>
        </is>
      </c>
      <c r="I18" s="7" t="n"/>
      <c r="J18" s="28" t="inlineStr">
        <is>
          <t>必須</t>
        </is>
      </c>
    </row>
    <row r="19" ht="42" customHeight="1">
      <c r="A19" s="15" t="inlineStr">
        <is>
          <t>測定・データ分析</t>
        </is>
      </c>
      <c r="B19" s="17" t="n"/>
      <c r="C19" s="16" t="inlineStr">
        <is>
          <t>クライアント側リソースの健全性確認</t>
        </is>
      </c>
      <c r="D19" s="17" t="n"/>
      <c r="E19" s="18" t="inlineStr">
        <is>
          <t>JMeter実行サーバ自体のCPU使用率が80%未満、メモリ使用率が70%未満に収まっていたか？</t>
        </is>
      </c>
      <c r="F19" s="17" t="n"/>
      <c r="G19" s="17" t="n"/>
      <c r="H19" s="18" t="inlineStr">
        <is>
          <t>負荷をかけているJMeterサーバ側がCPU100%に達していた場合、記録された遅延はサーバではなくJMeter自身の遅延である。</t>
        </is>
      </c>
      <c r="I19" s="17" t="n"/>
      <c r="J19" s="28" t="inlineStr">
        <is>
          <t>絶対厳守</t>
        </is>
      </c>
    </row>
    <row r="21" ht="26" customHeight="1">
      <c r="A21" s="8" t="inlineStr">
        <is>
          <t xml:space="preserve"> ▶ 2. 現場チェック完了証跡・レビュー承認印貼付エリア</t>
        </is>
      </c>
    </row>
    <row r="22">
      <c r="A22" s="20" t="inlineStr">
        <is>
          <t>【画像・スクリーンショット貼付エリア】
● 対象: テスト実施前チェックリスト確認印 / レビュー承認証跡
● 内容: テスト設計者・インフラ担当者・プロジェクト責任者によるチェックリスト事前確認の承認証跡やサイン貼付欄
● 推奨サイズ: 幅800px × 高さ450px (16:9)
※ 貼付方法: Excel上部「挿入」リボン →「図」→「画像」→「このデバイス...」で画像を挿入し、この枠内にサイズ調整して配置してください。</t>
        </is>
      </c>
      <c r="B22" s="21" t="n"/>
      <c r="C22" s="21" t="n"/>
      <c r="D22" s="21" t="n"/>
      <c r="E22" s="21" t="n"/>
      <c r="F22" s="21" t="n"/>
      <c r="G22" s="21" t="n"/>
      <c r="H22" s="21" t="n"/>
      <c r="I22" s="21" t="n"/>
      <c r="J22" s="22" t="n"/>
    </row>
    <row r="23">
      <c r="A23" s="23" t="n"/>
      <c r="J23" s="24" t="n"/>
    </row>
    <row r="24">
      <c r="A24" s="23" t="n"/>
      <c r="J24" s="24" t="n"/>
    </row>
    <row r="25">
      <c r="A25" s="23" t="n"/>
      <c r="J25" s="24" t="n"/>
    </row>
    <row r="26">
      <c r="A26" s="23" t="n"/>
      <c r="J26" s="24" t="n"/>
    </row>
    <row r="27">
      <c r="A27" s="23" t="n"/>
      <c r="J27" s="24" t="n"/>
    </row>
    <row r="28">
      <c r="A28" s="23" t="n"/>
      <c r="J28" s="24" t="n"/>
    </row>
    <row r="29">
      <c r="A29" s="23" t="n"/>
      <c r="J29" s="24" t="n"/>
    </row>
    <row r="30">
      <c r="A30" s="25" t="n"/>
      <c r="B30" s="26" t="n"/>
      <c r="C30" s="26" t="n"/>
      <c r="D30" s="26" t="n"/>
      <c r="E30" s="26" t="n"/>
      <c r="F30" s="26" t="n"/>
      <c r="G30" s="26" t="n"/>
      <c r="H30" s="26" t="n"/>
      <c r="I30" s="26" t="n"/>
      <c r="J30" s="27" t="n"/>
    </row>
  </sheetData>
  <mergeCells count="65">
    <mergeCell ref="E10:G10"/>
    <mergeCell ref="C6:D6"/>
    <mergeCell ref="E13:G13"/>
    <mergeCell ref="A15:B15"/>
    <mergeCell ref="E19:G19"/>
    <mergeCell ref="C15:D15"/>
    <mergeCell ref="H10:I10"/>
    <mergeCell ref="A11:B11"/>
    <mergeCell ref="A21:J21"/>
    <mergeCell ref="C5:D5"/>
    <mergeCell ref="C14:D14"/>
    <mergeCell ref="A4:J4"/>
    <mergeCell ref="E9:G9"/>
    <mergeCell ref="E15:G15"/>
    <mergeCell ref="C18:D18"/>
    <mergeCell ref="A6:B6"/>
    <mergeCell ref="E6:G6"/>
    <mergeCell ref="H9:I9"/>
    <mergeCell ref="A16:B16"/>
    <mergeCell ref="H6:I6"/>
    <mergeCell ref="A7:B7"/>
    <mergeCell ref="C10:D10"/>
    <mergeCell ref="E11:G11"/>
    <mergeCell ref="C16:D16"/>
    <mergeCell ref="A22:J30"/>
    <mergeCell ref="C9:D9"/>
    <mergeCell ref="A18:B18"/>
    <mergeCell ref="E7:G7"/>
    <mergeCell ref="A12:B12"/>
    <mergeCell ref="E16:G16"/>
    <mergeCell ref="H17:I17"/>
    <mergeCell ref="A1:J1"/>
    <mergeCell ref="H11:I11"/>
    <mergeCell ref="C12:D12"/>
    <mergeCell ref="H16:I16"/>
    <mergeCell ref="H7:I7"/>
    <mergeCell ref="C11:D11"/>
    <mergeCell ref="A5:B5"/>
    <mergeCell ref="E12:G12"/>
    <mergeCell ref="A14:B14"/>
    <mergeCell ref="E18:G18"/>
    <mergeCell ref="H19:I19"/>
    <mergeCell ref="A17:B17"/>
    <mergeCell ref="A8:B8"/>
    <mergeCell ref="H13:I13"/>
    <mergeCell ref="H14:I14"/>
    <mergeCell ref="C8:D8"/>
    <mergeCell ref="C17:D17"/>
    <mergeCell ref="H12:I12"/>
    <mergeCell ref="C7:D7"/>
    <mergeCell ref="E14:G14"/>
    <mergeCell ref="E5:G5"/>
    <mergeCell ref="A2:J2"/>
    <mergeCell ref="A19:B19"/>
    <mergeCell ref="E8:G8"/>
    <mergeCell ref="A10:B10"/>
    <mergeCell ref="H15:I15"/>
    <mergeCell ref="H18:I18"/>
    <mergeCell ref="A13:B13"/>
    <mergeCell ref="H5:I5"/>
    <mergeCell ref="E17:G17"/>
    <mergeCell ref="C13:D13"/>
    <mergeCell ref="C19:D19"/>
    <mergeCell ref="H8:I8"/>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2026-10-04T02:08:16Z</dcterms:created>
  <dcterms:modified xmlns:dcterms="http://purl.org/dc/terms/" xmlns:xsi="http://www.w3.org/2001/XMLSchema-instance" xsi:type="dcterms:W3CDTF">2026-10-04T02:08:17Z</dcterms:modified>
</cp:coreProperties>
</file>